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\vision_data\outputs\measurements\rectangle_roi_20261001\"/>
    </mc:Choice>
  </mc:AlternateContent>
  <xr:revisionPtr revIDLastSave="0" documentId="13_ncr:1_{08EEA8D2-3010-4B7D-9409-B5241D8C01E2}" xr6:coauthVersionLast="47" xr6:coauthVersionMax="47" xr10:uidLastSave="{00000000-0000-0000-0000-000000000000}"/>
  <bookViews>
    <workbookView xWindow="3480" yWindow="4185" windowWidth="21600" windowHeight="11295" tabRatio="500" activeTab="3" xr2:uid="{00000000-000D-0000-FFFF-FFFF00000000}"/>
  </bookViews>
  <sheets>
    <sheet name="설계 요약" sheetId="1" r:id="rId1"/>
    <sheet name="실험계획표" sheetId="2" r:id="rId2"/>
    <sheet name="이동측 2² 설계" sheetId="3" r:id="rId3"/>
    <sheet name="데이터 기록표" sheetId="4" r:id="rId4"/>
    <sheet name="분석용 요약" sheetId="5" r:id="rId5"/>
  </sheets>
  <definedNames>
    <definedName name="_xlnm.Print_Titles" localSheetId="3">'데이터 기록표'!$4:$4</definedName>
    <definedName name="_xlnm.Print_Titles" localSheetId="4">'분석용 요약'!$4:$4</definedName>
    <definedName name="_xlnm.Print_Titles" localSheetId="1">실험계획표!$5:$5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5" l="1"/>
  <c r="R28" i="5"/>
  <c r="K35" i="5" s="1"/>
  <c r="Q28" i="5"/>
  <c r="P28" i="5"/>
  <c r="O28" i="5"/>
  <c r="H35" i="5" s="1"/>
  <c r="L28" i="5"/>
  <c r="R27" i="5"/>
  <c r="K36" i="5" s="1"/>
  <c r="Q27" i="5"/>
  <c r="P27" i="5"/>
  <c r="O27" i="5"/>
  <c r="H36" i="5" s="1"/>
  <c r="L27" i="5"/>
  <c r="R26" i="5"/>
  <c r="K37" i="5" s="1"/>
  <c r="Q26" i="5"/>
  <c r="P26" i="5"/>
  <c r="O26" i="5"/>
  <c r="H37" i="5" s="1"/>
  <c r="L26" i="5"/>
  <c r="R25" i="5"/>
  <c r="K38" i="5" s="1"/>
  <c r="Q25" i="5"/>
  <c r="P25" i="5"/>
  <c r="O25" i="5"/>
  <c r="H38" i="5" s="1"/>
  <c r="L25" i="5"/>
  <c r="R24" i="5"/>
  <c r="Q24" i="5"/>
  <c r="P24" i="5"/>
  <c r="O24" i="5"/>
  <c r="L24" i="5"/>
  <c r="R23" i="5"/>
  <c r="Q23" i="5"/>
  <c r="P23" i="5"/>
  <c r="O23" i="5"/>
  <c r="L23" i="5"/>
  <c r="R22" i="5"/>
  <c r="Q22" i="5"/>
  <c r="P22" i="5"/>
  <c r="O22" i="5"/>
  <c r="L22" i="5"/>
  <c r="R21" i="5"/>
  <c r="J38" i="5" s="1"/>
  <c r="Q21" i="5"/>
  <c r="P21" i="5"/>
  <c r="O21" i="5"/>
  <c r="G38" i="5" s="1"/>
  <c r="L21" i="5"/>
  <c r="R20" i="5"/>
  <c r="Q20" i="5"/>
  <c r="P20" i="5"/>
  <c r="O20" i="5"/>
  <c r="L20" i="5"/>
  <c r="R19" i="5"/>
  <c r="Q19" i="5"/>
  <c r="P19" i="5"/>
  <c r="O19" i="5"/>
  <c r="T20" i="5" s="1"/>
  <c r="L19" i="5"/>
  <c r="R18" i="5"/>
  <c r="Q18" i="5"/>
  <c r="P18" i="5"/>
  <c r="O18" i="5"/>
  <c r="L18" i="5"/>
  <c r="R17" i="5"/>
  <c r="J37" i="5" s="1"/>
  <c r="Q17" i="5"/>
  <c r="P17" i="5"/>
  <c r="O17" i="5"/>
  <c r="G37" i="5" s="1"/>
  <c r="L17" i="5"/>
  <c r="R16" i="5"/>
  <c r="Q16" i="5"/>
  <c r="P16" i="5"/>
  <c r="O16" i="5"/>
  <c r="L16" i="5"/>
  <c r="R15" i="5"/>
  <c r="Q15" i="5"/>
  <c r="P15" i="5"/>
  <c r="O15" i="5"/>
  <c r="L15" i="5"/>
  <c r="R14" i="5"/>
  <c r="Q14" i="5"/>
  <c r="P14" i="5"/>
  <c r="O14" i="5"/>
  <c r="L14" i="5"/>
  <c r="R13" i="5"/>
  <c r="J36" i="5" s="1"/>
  <c r="Q13" i="5"/>
  <c r="P13" i="5"/>
  <c r="O13" i="5"/>
  <c r="G36" i="5" s="1"/>
  <c r="L13" i="5"/>
  <c r="R12" i="5"/>
  <c r="Q12" i="5"/>
  <c r="P12" i="5"/>
  <c r="O12" i="5"/>
  <c r="L12" i="5"/>
  <c r="R11" i="5"/>
  <c r="Q11" i="5"/>
  <c r="P11" i="5"/>
  <c r="O11" i="5"/>
  <c r="L11" i="5"/>
  <c r="R10" i="5"/>
  <c r="Q10" i="5"/>
  <c r="P10" i="5"/>
  <c r="O10" i="5"/>
  <c r="L10" i="5"/>
  <c r="R9" i="5"/>
  <c r="J35" i="5" s="1"/>
  <c r="Q9" i="5"/>
  <c r="P9" i="5"/>
  <c r="O9" i="5"/>
  <c r="L9" i="5"/>
  <c r="R8" i="5"/>
  <c r="Q8" i="5"/>
  <c r="P8" i="5"/>
  <c r="O8" i="5"/>
  <c r="L8" i="5"/>
  <c r="R7" i="5"/>
  <c r="Q7" i="5"/>
  <c r="P7" i="5"/>
  <c r="O7" i="5"/>
  <c r="L7" i="5"/>
  <c r="R6" i="5"/>
  <c r="Q6" i="5"/>
  <c r="P6" i="5"/>
  <c r="O6" i="5"/>
  <c r="L6" i="5"/>
  <c r="R5" i="5"/>
  <c r="Q5" i="5"/>
  <c r="P5" i="5"/>
  <c r="O5" i="5"/>
  <c r="L5" i="5"/>
  <c r="D81" i="4"/>
  <c r="D80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N25" i="5" s="1"/>
  <c r="J67" i="4"/>
  <c r="K66" i="4"/>
  <c r="J66" i="4"/>
  <c r="K65" i="4"/>
  <c r="J65" i="4"/>
  <c r="K64" i="4"/>
  <c r="J64" i="4"/>
  <c r="M24" i="5" s="1"/>
  <c r="K63" i="4"/>
  <c r="J63" i="4"/>
  <c r="K62" i="4"/>
  <c r="J62" i="4"/>
  <c r="K61" i="4"/>
  <c r="J61" i="4"/>
  <c r="K60" i="4"/>
  <c r="J60" i="4"/>
  <c r="K59" i="4"/>
  <c r="J59" i="4"/>
  <c r="K58" i="4"/>
  <c r="J58" i="4"/>
  <c r="M22" i="5" s="1"/>
  <c r="K57" i="4"/>
  <c r="J57" i="4"/>
  <c r="K56" i="4"/>
  <c r="J56" i="4"/>
  <c r="K55" i="4"/>
  <c r="J55" i="4"/>
  <c r="M21" i="5" s="1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N16" i="5" s="1"/>
  <c r="J40" i="4"/>
  <c r="K39" i="4"/>
  <c r="J39" i="4"/>
  <c r="K38" i="4"/>
  <c r="J38" i="4"/>
  <c r="K37" i="4"/>
  <c r="J37" i="4"/>
  <c r="M15" i="5" s="1"/>
  <c r="K36" i="4"/>
  <c r="J36" i="4"/>
  <c r="K35" i="4"/>
  <c r="J35" i="4"/>
  <c r="K34" i="4"/>
  <c r="J34" i="4"/>
  <c r="K33" i="4"/>
  <c r="J33" i="4"/>
  <c r="K32" i="4"/>
  <c r="J32" i="4"/>
  <c r="K31" i="4"/>
  <c r="N13" i="5" s="1"/>
  <c r="J31" i="4"/>
  <c r="K30" i="4"/>
  <c r="J30" i="4"/>
  <c r="K29" i="4"/>
  <c r="J29" i="4"/>
  <c r="K28" i="4"/>
  <c r="J28" i="4"/>
  <c r="K27" i="4"/>
  <c r="J27" i="4"/>
  <c r="K26" i="4"/>
  <c r="J26" i="4"/>
  <c r="K25" i="4"/>
  <c r="N11" i="5" s="1"/>
  <c r="J25" i="4"/>
  <c r="M11" i="5" s="1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N8" i="5" s="1"/>
  <c r="J16" i="4"/>
  <c r="K15" i="4"/>
  <c r="J15" i="4"/>
  <c r="K14" i="4"/>
  <c r="J14" i="4"/>
  <c r="K13" i="4"/>
  <c r="J13" i="4"/>
  <c r="M7" i="5" s="1"/>
  <c r="K12" i="4"/>
  <c r="J12" i="4"/>
  <c r="K11" i="4"/>
  <c r="J11" i="4"/>
  <c r="K10" i="4"/>
  <c r="N6" i="5" s="1"/>
  <c r="J10" i="4"/>
  <c r="M6" i="5" s="1"/>
  <c r="K9" i="4"/>
  <c r="J9" i="4"/>
  <c r="K8" i="4"/>
  <c r="J8" i="4"/>
  <c r="K7" i="4"/>
  <c r="J7" i="4"/>
  <c r="K5" i="4"/>
  <c r="J5" i="4"/>
  <c r="E12" i="3"/>
  <c r="C12" i="3"/>
  <c r="E11" i="3"/>
  <c r="C11" i="3"/>
  <c r="E29" i="2"/>
  <c r="E28" i="2"/>
  <c r="E27" i="2"/>
  <c r="E42" i="1"/>
  <c r="E41" i="1"/>
  <c r="E40" i="1"/>
  <c r="E39" i="1"/>
  <c r="L38" i="5" l="1"/>
  <c r="M8" i="5"/>
  <c r="N24" i="5"/>
  <c r="N28" i="5"/>
  <c r="M14" i="5"/>
  <c r="M13" i="5"/>
  <c r="D36" i="5" s="1"/>
  <c r="N19" i="5"/>
  <c r="N27" i="5"/>
  <c r="M27" i="5"/>
  <c r="E36" i="5" s="1"/>
  <c r="F36" i="5" s="1"/>
  <c r="E30" i="2"/>
  <c r="M26" i="5"/>
  <c r="E37" i="5" s="1"/>
  <c r="N23" i="5"/>
  <c r="M23" i="5"/>
  <c r="M19" i="5"/>
  <c r="N17" i="5"/>
  <c r="M16" i="5"/>
  <c r="N12" i="5"/>
  <c r="N10" i="5"/>
  <c r="T22" i="5"/>
  <c r="I38" i="5"/>
  <c r="U20" i="5"/>
  <c r="L37" i="5"/>
  <c r="L36" i="5"/>
  <c r="I36" i="5"/>
  <c r="T6" i="5"/>
  <c r="M28" i="5"/>
  <c r="E35" i="5" s="1"/>
  <c r="N26" i="5"/>
  <c r="M25" i="5"/>
  <c r="E38" i="5" s="1"/>
  <c r="N22" i="5"/>
  <c r="N21" i="5"/>
  <c r="N20" i="5"/>
  <c r="M20" i="5"/>
  <c r="M18" i="5"/>
  <c r="N18" i="5"/>
  <c r="N15" i="5"/>
  <c r="N14" i="5"/>
  <c r="M17" i="5"/>
  <c r="D37" i="5" s="1"/>
  <c r="M12" i="5"/>
  <c r="M10" i="5"/>
  <c r="N9" i="5"/>
  <c r="M9" i="5"/>
  <c r="N7" i="5"/>
  <c r="M5" i="5"/>
  <c r="S6" i="5" s="1"/>
  <c r="N5" i="5"/>
  <c r="G35" i="5"/>
  <c r="I35" i="5" s="1"/>
  <c r="T10" i="5"/>
  <c r="U6" i="5"/>
  <c r="L35" i="5"/>
  <c r="S22" i="5"/>
  <c r="D38" i="5"/>
  <c r="I37" i="5"/>
  <c r="U10" i="5"/>
  <c r="U22" i="5"/>
  <c r="S20" i="5" l="1"/>
  <c r="F37" i="5"/>
  <c r="F38" i="5"/>
  <c r="D35" i="5"/>
  <c r="F35" i="5" s="1"/>
  <c r="S10" i="5"/>
</calcChain>
</file>

<file path=xl/sharedStrings.xml><?xml version="1.0" encoding="utf-8"?>
<sst xmlns="http://schemas.openxmlformats.org/spreadsheetml/2006/main" count="481" uniqueCount="236">
  <si>
    <r>
      <rPr>
        <b/>
        <sz val="14"/>
        <rFont val="Noto Sans CJK SC"/>
        <family val="2"/>
      </rPr>
      <t xml:space="preserve">자동차 복합재 부품 텐덤금형 사출실험 </t>
    </r>
    <r>
      <rPr>
        <b/>
        <sz val="14"/>
        <rFont val="맑은 고딕"/>
        <family val="2"/>
        <charset val="129"/>
      </rPr>
      <t xml:space="preserve">DOE — </t>
    </r>
    <r>
      <rPr>
        <b/>
        <sz val="14"/>
        <rFont val="Noto Sans CJK SC"/>
        <family val="2"/>
      </rPr>
      <t xml:space="preserve">고정측 </t>
    </r>
    <r>
      <rPr>
        <b/>
        <sz val="14"/>
        <rFont val="맑은 고딕"/>
        <family val="2"/>
        <charset val="129"/>
      </rPr>
      <t>20</t>
    </r>
    <r>
      <rPr>
        <b/>
        <sz val="14"/>
        <rFont val="Noto Sans CJK SC"/>
        <family val="2"/>
      </rPr>
      <t xml:space="preserve">런 </t>
    </r>
    <r>
      <rPr>
        <b/>
        <sz val="14"/>
        <rFont val="맑은 고딕"/>
        <family val="2"/>
        <charset val="129"/>
      </rPr>
      <t>(4×4 @60℃ + 40℃ 4</t>
    </r>
    <r>
      <rPr>
        <b/>
        <sz val="14"/>
        <rFont val="Noto Sans CJK SC"/>
        <family val="2"/>
      </rPr>
      <t>런</t>
    </r>
    <r>
      <rPr>
        <b/>
        <sz val="14"/>
        <rFont val="맑은 고딕"/>
        <family val="2"/>
        <charset val="129"/>
      </rPr>
      <t xml:space="preserve">) / </t>
    </r>
    <r>
      <rPr>
        <b/>
        <sz val="14"/>
        <rFont val="Noto Sans CJK SC"/>
        <family val="2"/>
      </rPr>
      <t xml:space="preserve">이동측 </t>
    </r>
    <r>
      <rPr>
        <b/>
        <sz val="14"/>
        <rFont val="맑은 고딕"/>
        <family val="2"/>
        <charset val="129"/>
      </rPr>
      <t xml:space="preserve">2² </t>
    </r>
    <r>
      <rPr>
        <b/>
        <sz val="14"/>
        <rFont val="Noto Sans CJK SC"/>
        <family val="2"/>
      </rPr>
      <t xml:space="preserve">내포 </t>
    </r>
    <r>
      <rPr>
        <b/>
        <sz val="14"/>
        <rFont val="맑은 고딕"/>
        <family val="2"/>
        <charset val="129"/>
      </rPr>
      <t>(4</t>
    </r>
    <r>
      <rPr>
        <b/>
        <sz val="14"/>
        <rFont val="Noto Sans CJK SC"/>
        <family val="2"/>
      </rPr>
      <t>런</t>
    </r>
    <r>
      <rPr>
        <b/>
        <sz val="14"/>
        <rFont val="맑은 고딕"/>
        <family val="2"/>
        <charset val="129"/>
      </rPr>
      <t>)</t>
    </r>
  </si>
  <si>
    <r>
      <rPr>
        <i/>
        <sz val="10"/>
        <color rgb="FF595959"/>
        <rFont val="Noto Sans CJK SC"/>
        <family val="2"/>
      </rPr>
      <t>텐덤금형</t>
    </r>
    <r>
      <rPr>
        <i/>
        <sz val="10"/>
        <color rgb="FF595959"/>
        <rFont val="맑은 고딕"/>
        <family val="2"/>
        <charset val="129"/>
      </rPr>
      <t xml:space="preserve">, </t>
    </r>
    <r>
      <rPr>
        <i/>
        <sz val="10"/>
        <color rgb="FF595959"/>
        <rFont val="Noto Sans CJK SC"/>
        <family val="2"/>
      </rPr>
      <t xml:space="preserve">고정측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 xml:space="preserve">캐비티 </t>
    </r>
    <r>
      <rPr>
        <i/>
        <sz val="10"/>
        <color rgb="FF595959"/>
        <rFont val="맑은 고딕"/>
        <family val="2"/>
        <charset val="129"/>
      </rPr>
      <t xml:space="preserve">+ </t>
    </r>
    <r>
      <rPr>
        <i/>
        <sz val="10"/>
        <color rgb="FF595959"/>
        <rFont val="Noto Sans CJK SC"/>
        <family val="2"/>
      </rPr>
      <t xml:space="preserve">이동측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>캐비티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고정측</t>
    </r>
    <r>
      <rPr>
        <i/>
        <sz val="10"/>
        <color rgb="FF595959"/>
        <rFont val="맑은 고딕"/>
        <family val="2"/>
        <charset val="129"/>
      </rPr>
      <t xml:space="preserve">: </t>
    </r>
    <r>
      <rPr>
        <i/>
        <sz val="10"/>
        <color rgb="FF595959"/>
        <rFont val="Noto Sans CJK SC"/>
        <family val="2"/>
      </rPr>
      <t xml:space="preserve">핫러너 온도 </t>
    </r>
    <r>
      <rPr>
        <i/>
        <sz val="10"/>
        <color rgb="FF595959"/>
        <rFont val="맑은 고딕"/>
        <family val="2"/>
        <charset val="129"/>
      </rPr>
      <t>4</t>
    </r>
    <r>
      <rPr>
        <i/>
        <sz val="10"/>
        <color rgb="FF595959"/>
        <rFont val="Noto Sans CJK SC"/>
        <family val="2"/>
      </rPr>
      <t xml:space="preserve">수준 </t>
    </r>
    <r>
      <rPr>
        <i/>
        <sz val="10"/>
        <color rgb="FF595959"/>
        <rFont val="맑은 고딕"/>
        <family val="2"/>
        <charset val="129"/>
      </rPr>
      <t xml:space="preserve">× </t>
    </r>
    <r>
      <rPr>
        <i/>
        <sz val="10"/>
        <color rgb="FF595959"/>
        <rFont val="Noto Sans CJK SC"/>
        <family val="2"/>
      </rPr>
      <t xml:space="preserve">사출속도 </t>
    </r>
    <r>
      <rPr>
        <i/>
        <sz val="10"/>
        <color rgb="FF595959"/>
        <rFont val="맑은 고딕"/>
        <family val="2"/>
        <charset val="129"/>
      </rPr>
      <t>4</t>
    </r>
    <r>
      <rPr>
        <i/>
        <sz val="10"/>
        <color rgb="FF595959"/>
        <rFont val="Noto Sans CJK SC"/>
        <family val="2"/>
      </rPr>
      <t>수준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 xml:space="preserve">금형온도 </t>
    </r>
    <r>
      <rPr>
        <i/>
        <sz val="10"/>
        <color rgb="FF595959"/>
        <rFont val="맑은 고딕"/>
        <family val="2"/>
        <charset val="129"/>
      </rPr>
      <t>60℃) 16</t>
    </r>
    <r>
      <rPr>
        <i/>
        <sz val="10"/>
        <color rgb="FF595959"/>
        <rFont val="Noto Sans CJK SC"/>
        <family val="2"/>
      </rPr>
      <t xml:space="preserve">런 </t>
    </r>
    <r>
      <rPr>
        <i/>
        <sz val="10"/>
        <color rgb="FF595959"/>
        <rFont val="맑은 고딕"/>
        <family val="2"/>
        <charset val="129"/>
      </rPr>
      <t xml:space="preserve">+ </t>
    </r>
    <r>
      <rPr>
        <i/>
        <sz val="10"/>
        <color rgb="FF595959"/>
        <rFont val="Noto Sans CJK SC"/>
        <family val="2"/>
      </rPr>
      <t xml:space="preserve">금형온도 </t>
    </r>
    <r>
      <rPr>
        <i/>
        <sz val="10"/>
        <color rgb="FF595959"/>
        <rFont val="맑은 고딕"/>
        <family val="2"/>
        <charset val="129"/>
      </rPr>
      <t xml:space="preserve">40℃ </t>
    </r>
    <r>
      <rPr>
        <i/>
        <sz val="10"/>
        <color rgb="FF595959"/>
        <rFont val="Noto Sans CJK SC"/>
        <family val="2"/>
      </rPr>
      <t xml:space="preserve">추가 </t>
    </r>
    <r>
      <rPr>
        <i/>
        <sz val="10"/>
        <color rgb="FF595959"/>
        <rFont val="맑은 고딕"/>
        <family val="2"/>
        <charset val="129"/>
      </rPr>
      <t>4</t>
    </r>
    <r>
      <rPr>
        <i/>
        <sz val="10"/>
        <color rgb="FF595959"/>
        <rFont val="Noto Sans CJK SC"/>
        <family val="2"/>
      </rPr>
      <t xml:space="preserve">런 </t>
    </r>
    <r>
      <rPr>
        <i/>
        <sz val="10"/>
        <color rgb="FF595959"/>
        <rFont val="맑은 고딕"/>
        <family val="2"/>
        <charset val="129"/>
      </rPr>
      <t>= 20</t>
    </r>
    <r>
      <rPr>
        <i/>
        <sz val="10"/>
        <color rgb="FF595959"/>
        <rFont val="Noto Sans CJK SC"/>
        <family val="2"/>
      </rPr>
      <t>조건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이동측</t>
    </r>
    <r>
      <rPr>
        <i/>
        <sz val="10"/>
        <color rgb="FF595959"/>
        <rFont val="맑은 고딕"/>
        <family val="2"/>
        <charset val="129"/>
      </rPr>
      <t xml:space="preserve">: </t>
    </r>
    <r>
      <rPr>
        <i/>
        <sz val="10"/>
        <color rgb="FF595959"/>
        <rFont val="Noto Sans CJK SC"/>
        <family val="2"/>
      </rPr>
      <t>핫러너 온도</t>
    </r>
    <r>
      <rPr>
        <i/>
        <sz val="10"/>
        <color rgb="FF595959"/>
        <rFont val="맑은 고딕"/>
        <family val="2"/>
        <charset val="129"/>
      </rPr>
      <t>·</t>
    </r>
    <r>
      <rPr>
        <i/>
        <sz val="10"/>
        <color rgb="FF595959"/>
        <rFont val="Noto Sans CJK SC"/>
        <family val="2"/>
      </rPr>
      <t xml:space="preserve">사출속도 </t>
    </r>
    <r>
      <rPr>
        <i/>
        <sz val="10"/>
        <color rgb="FF595959"/>
        <rFont val="맑은 고딕"/>
        <family val="2"/>
        <charset val="129"/>
      </rPr>
      <t>2</t>
    </r>
    <r>
      <rPr>
        <i/>
        <sz val="10"/>
        <color rgb="FF595959"/>
        <rFont val="Noto Sans CJK SC"/>
        <family val="2"/>
      </rPr>
      <t>수준</t>
    </r>
    <r>
      <rPr>
        <i/>
        <sz val="10"/>
        <color rgb="FF595959"/>
        <rFont val="맑은 고딕"/>
        <family val="2"/>
        <charset val="129"/>
      </rPr>
      <t>(2²) 4</t>
    </r>
    <r>
      <rPr>
        <i/>
        <sz val="10"/>
        <color rgb="FF595959"/>
        <rFont val="Noto Sans CJK SC"/>
        <family val="2"/>
      </rPr>
      <t>런만 측정하며</t>
    </r>
    <r>
      <rPr>
        <i/>
        <sz val="10"/>
        <color rgb="FF595959"/>
        <rFont val="맑은 고딕"/>
        <family val="2"/>
        <charset val="129"/>
      </rPr>
      <t xml:space="preserve">, </t>
    </r>
    <r>
      <rPr>
        <i/>
        <sz val="10"/>
        <color rgb="FF595959"/>
        <rFont val="Noto Sans CJK SC"/>
        <family val="2"/>
      </rPr>
      <t>모두 고정측 런에 포함되어 추가 성형 없이 시편 측정만 추가된다</t>
    </r>
    <r>
      <rPr>
        <i/>
        <sz val="10"/>
        <color rgb="FF595959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</si>
  <si>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1. </t>
    </r>
    <r>
      <rPr>
        <b/>
        <sz val="10"/>
        <rFont val="Noto Sans CJK SC"/>
        <family val="2"/>
      </rPr>
      <t>인자 및 수준</t>
    </r>
  </si>
  <si>
    <t>인자</t>
  </si>
  <si>
    <t>수준</t>
  </si>
  <si>
    <t>수준 수</t>
  </si>
  <si>
    <t>코드값</t>
  </si>
  <si>
    <t>비고</t>
  </si>
  <si>
    <r>
      <rPr>
        <b/>
        <sz val="10"/>
        <rFont val="맑은 고딕"/>
        <family val="2"/>
        <charset val="129"/>
      </rPr>
      <t xml:space="preserve">A. </t>
    </r>
    <r>
      <rPr>
        <b/>
        <sz val="10"/>
        <rFont val="Noto Sans CJK SC"/>
        <family val="2"/>
      </rPr>
      <t xml:space="preserve">핫러너 온도 </t>
    </r>
    <r>
      <rPr>
        <b/>
        <sz val="10"/>
        <rFont val="맑은 고딕"/>
        <family val="2"/>
        <charset val="129"/>
      </rPr>
      <t>(℃)</t>
    </r>
  </si>
  <si>
    <t>210 / 223 / 237 / 250</t>
  </si>
  <si>
    <t>4</t>
  </si>
  <si>
    <t>−1 / −⅓ / ⅓ / 1</t>
  </si>
  <si>
    <r>
      <rPr>
        <sz val="10"/>
        <rFont val="Noto Sans CJK SC"/>
        <family val="2"/>
      </rPr>
      <t>핫러너 컨트롤러 설정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두 파팅면 동일</t>
    </r>
    <r>
      <rPr>
        <sz val="10"/>
        <rFont val="맑은 고딕"/>
        <family val="2"/>
        <charset val="129"/>
      </rPr>
      <t>. 210–250℃</t>
    </r>
    <r>
      <rPr>
        <sz val="10"/>
        <rFont val="Noto Sans CJK SC"/>
        <family val="2"/>
      </rPr>
      <t>를 정수로 등간격 근사</t>
    </r>
    <r>
      <rPr>
        <sz val="10"/>
        <rFont val="맑은 고딕"/>
        <family val="2"/>
        <charset val="129"/>
      </rPr>
      <t xml:space="preserve">(13·14·13℃). </t>
    </r>
    <r>
      <rPr>
        <sz val="10"/>
        <rFont val="Noto Sans CJK SC"/>
        <family val="2"/>
      </rPr>
      <t>승온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안정화 시간이 가장 긺 → 블록 인자</t>
    </r>
  </si>
  <si>
    <r>
      <rPr>
        <b/>
        <sz val="10"/>
        <rFont val="맑은 고딕"/>
        <family val="2"/>
        <charset val="129"/>
      </rPr>
      <t xml:space="preserve">B. </t>
    </r>
    <r>
      <rPr>
        <b/>
        <sz val="10"/>
        <rFont val="Noto Sans CJK SC"/>
        <family val="2"/>
      </rPr>
      <t xml:space="preserve">금형온도 </t>
    </r>
    <r>
      <rPr>
        <b/>
        <sz val="10"/>
        <rFont val="맑은 고딕"/>
        <family val="2"/>
        <charset val="129"/>
      </rPr>
      <t>(℃)</t>
    </r>
  </si>
  <si>
    <r>
      <rPr>
        <sz val="10"/>
        <rFont val="맑은 고딕"/>
        <family val="2"/>
        <charset val="129"/>
      </rPr>
      <t>60 (</t>
    </r>
    <r>
      <rPr>
        <sz val="10"/>
        <rFont val="Noto Sans CJK SC"/>
        <family val="2"/>
      </rPr>
      <t>주 설계 고정</t>
    </r>
    <r>
      <rPr>
        <sz val="10"/>
        <rFont val="맑은 고딕"/>
        <family val="2"/>
        <charset val="129"/>
      </rPr>
      <t>) / 40 (</t>
    </r>
    <r>
      <rPr>
        <sz val="10"/>
        <rFont val="Noto Sans CJK SC"/>
        <family val="2"/>
      </rPr>
      <t xml:space="preserve">추가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런</t>
    </r>
    <r>
      <rPr>
        <sz val="10"/>
        <rFont val="맑은 고딕"/>
        <family val="2"/>
        <charset val="129"/>
      </rPr>
      <t>)</t>
    </r>
  </si>
  <si>
    <t>2</t>
  </si>
  <si>
    <t>1 / −1</t>
  </si>
  <si>
    <r>
      <rPr>
        <sz val="10"/>
        <rFont val="Noto Sans CJK SC"/>
        <family val="2"/>
      </rPr>
      <t xml:space="preserve">주 설계 </t>
    </r>
    <r>
      <rPr>
        <sz val="10"/>
        <rFont val="맑은 고딕"/>
        <family val="2"/>
        <charset val="129"/>
      </rPr>
      <t>16</t>
    </r>
    <r>
      <rPr>
        <sz val="10"/>
        <rFont val="Noto Sans CJK SC"/>
        <family val="2"/>
      </rPr>
      <t xml:space="preserve">런은 </t>
    </r>
    <r>
      <rPr>
        <sz val="10"/>
        <rFont val="맑은 고딕"/>
        <family val="2"/>
        <charset val="129"/>
      </rPr>
      <t xml:space="preserve">60℃ </t>
    </r>
    <r>
      <rPr>
        <sz val="10"/>
        <rFont val="Noto Sans CJK SC"/>
        <family val="2"/>
      </rPr>
      <t>고정</t>
    </r>
    <r>
      <rPr>
        <sz val="10"/>
        <rFont val="맑은 고딕"/>
        <family val="2"/>
        <charset val="129"/>
      </rPr>
      <t>. 40℃</t>
    </r>
    <r>
      <rPr>
        <sz val="10"/>
        <rFont val="Noto Sans CJK SC"/>
        <family val="2"/>
      </rPr>
      <t xml:space="preserve">는 핫러너 온도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 xml:space="preserve">수준 </t>
    </r>
    <r>
      <rPr>
        <sz val="10"/>
        <rFont val="맑은 고딕"/>
        <family val="2"/>
        <charset val="129"/>
      </rPr>
      <t xml:space="preserve">× </t>
    </r>
    <r>
      <rPr>
        <sz val="10"/>
        <rFont val="Noto Sans CJK SC"/>
        <family val="2"/>
      </rPr>
      <t xml:space="preserve">사출속도 </t>
    </r>
    <r>
      <rPr>
        <sz val="10"/>
        <rFont val="맑은 고딕"/>
        <family val="2"/>
        <charset val="129"/>
      </rPr>
      <t>80 mm/s</t>
    </r>
    <r>
      <rPr>
        <sz val="10"/>
        <rFont val="Noto Sans CJK SC"/>
        <family val="2"/>
      </rPr>
      <t>에서만 추가 실험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고정측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이동측 온조기 동일 설정</t>
    </r>
  </si>
  <si>
    <r>
      <rPr>
        <b/>
        <sz val="10"/>
        <rFont val="맑은 고딕"/>
        <family val="2"/>
        <charset val="129"/>
      </rPr>
      <t xml:space="preserve">C. </t>
    </r>
    <r>
      <rPr>
        <b/>
        <sz val="10"/>
        <rFont val="Noto Sans CJK SC"/>
        <family val="2"/>
      </rPr>
      <t xml:space="preserve">사출속도 </t>
    </r>
    <r>
      <rPr>
        <b/>
        <sz val="10"/>
        <rFont val="맑은 고딕"/>
        <family val="2"/>
        <charset val="129"/>
      </rPr>
      <t>(mm/s)</t>
    </r>
  </si>
  <si>
    <t>20 / 40 / 60 / 80</t>
  </si>
  <si>
    <r>
      <rPr>
        <sz val="10"/>
        <rFont val="Noto Sans CJK SC"/>
        <family val="2"/>
      </rPr>
      <t>두 파팅면 사출 프로파일 동일 설정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변경 용이</t>
    </r>
  </si>
  <si>
    <r>
      <rPr>
        <b/>
        <sz val="10"/>
        <rFont val="맑은 고딕"/>
        <family val="2"/>
        <charset val="129"/>
      </rPr>
      <t xml:space="preserve">2. </t>
    </r>
    <r>
      <rPr>
        <b/>
        <sz val="10"/>
        <rFont val="Noto Sans CJK SC"/>
        <family val="2"/>
      </rPr>
      <t xml:space="preserve">고정변수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전 런 동일 설정</t>
    </r>
    <r>
      <rPr>
        <b/>
        <sz val="10"/>
        <rFont val="맑은 고딕"/>
        <family val="2"/>
        <charset val="129"/>
      </rPr>
      <t>)</t>
    </r>
  </si>
  <si>
    <t>고정변수</t>
  </si>
  <si>
    <t>설정값</t>
  </si>
  <si>
    <t>단위</t>
  </si>
  <si>
    <t>보압</t>
  </si>
  <si>
    <r>
      <rPr>
        <sz val="10"/>
        <color rgb="FF0000FF"/>
        <rFont val="Noto Sans CJK SC"/>
        <family val="2"/>
      </rPr>
      <t xml:space="preserve">최고사출압의 </t>
    </r>
    <r>
      <rPr>
        <sz val="10"/>
        <color rgb="FF0000FF"/>
        <rFont val="맑은 고딕"/>
        <family val="2"/>
        <charset val="129"/>
      </rPr>
      <t>100%</t>
    </r>
  </si>
  <si>
    <t>%</t>
  </si>
  <si>
    <r>
      <rPr>
        <sz val="10"/>
        <rFont val="Noto Sans CJK SC"/>
        <family val="2"/>
      </rPr>
      <t xml:space="preserve">사출 시 최고압을 기준으로 </t>
    </r>
    <r>
      <rPr>
        <sz val="10"/>
        <rFont val="맑은 고딕"/>
        <family val="2"/>
        <charset val="129"/>
      </rPr>
      <t xml:space="preserve">100% </t>
    </r>
    <r>
      <rPr>
        <sz val="10"/>
        <rFont val="Noto Sans CJK SC"/>
        <family val="2"/>
      </rPr>
      <t>설정</t>
    </r>
  </si>
  <si>
    <t>보압시간</t>
  </si>
  <si>
    <t>s</t>
  </si>
  <si>
    <t>계량거리</t>
  </si>
  <si>
    <t>mm</t>
  </si>
  <si>
    <r>
      <rPr>
        <b/>
        <sz val="10"/>
        <rFont val="맑은 고딕"/>
        <family val="2"/>
        <charset val="129"/>
      </rPr>
      <t xml:space="preserve">V/P </t>
    </r>
    <r>
      <rPr>
        <b/>
        <sz val="10"/>
        <rFont val="Noto Sans CJK SC"/>
        <family val="2"/>
      </rPr>
      <t>전환 위치</t>
    </r>
  </si>
  <si>
    <r>
      <rPr>
        <sz val="10"/>
        <rFont val="Noto Sans CJK SC"/>
        <family val="2"/>
      </rPr>
      <t>속도→압력 전환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스크루 위치</t>
    </r>
    <r>
      <rPr>
        <sz val="10"/>
        <rFont val="맑은 고딕"/>
        <family val="2"/>
        <charset val="129"/>
      </rPr>
      <t>)</t>
    </r>
  </si>
  <si>
    <t>냉각시간</t>
  </si>
  <si>
    <t>배럴온도</t>
  </si>
  <si>
    <t>℃</t>
  </si>
  <si>
    <r>
      <rPr>
        <sz val="10"/>
        <rFont val="Noto Sans CJK SC"/>
        <family val="2"/>
      </rPr>
      <t>핫러너 온도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인자 </t>
    </r>
    <r>
      <rPr>
        <sz val="10"/>
        <rFont val="맑은 고딕"/>
        <family val="2"/>
        <charset val="129"/>
      </rPr>
      <t>A)</t>
    </r>
    <r>
      <rPr>
        <sz val="10"/>
        <rFont val="Noto Sans CJK SC"/>
        <family val="2"/>
      </rPr>
      <t>와 별개로 고정</t>
    </r>
  </si>
  <si>
    <t>노즐온도</t>
  </si>
  <si>
    <r>
      <rPr>
        <sz val="9"/>
        <color rgb="FF595959"/>
        <rFont val="Noto Sans CJK SC"/>
        <family val="2"/>
      </rPr>
      <t xml:space="preserve">※ 고정변수는 </t>
    </r>
    <r>
      <rPr>
        <sz val="9"/>
        <color rgb="FF595959"/>
        <rFont val="맑은 고딕"/>
        <family val="2"/>
        <charset val="129"/>
      </rPr>
      <t>20</t>
    </r>
    <r>
      <rPr>
        <sz val="9"/>
        <color rgb="FF595959"/>
        <rFont val="Noto Sans CJK SC"/>
        <family val="2"/>
      </rPr>
      <t>런 전체와 두 파팅면 모두 동일하게 유지</t>
    </r>
    <r>
      <rPr>
        <sz val="9"/>
        <color rgb="FF595959"/>
        <rFont val="맑은 고딕"/>
        <family val="2"/>
        <charset val="129"/>
      </rPr>
      <t xml:space="preserve">. </t>
    </r>
    <r>
      <rPr>
        <sz val="9"/>
        <color rgb="FF595959"/>
        <rFont val="Noto Sans CJK SC"/>
        <family val="2"/>
      </rPr>
      <t>값은 실험 담당자 지정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>파란색</t>
    </r>
    <r>
      <rPr>
        <sz val="9"/>
        <color rgb="FF595959"/>
        <rFont val="맑은 고딕"/>
        <family val="2"/>
        <charset val="129"/>
      </rPr>
      <t>).</t>
    </r>
  </si>
  <si>
    <r>
      <rPr>
        <b/>
        <sz val="10"/>
        <rFont val="맑은 고딕"/>
        <family val="2"/>
        <charset val="129"/>
      </rPr>
      <t xml:space="preserve">3. </t>
    </r>
    <r>
      <rPr>
        <b/>
        <sz val="10"/>
        <rFont val="Noto Sans CJK SC"/>
        <family val="2"/>
      </rPr>
      <t xml:space="preserve">반응변수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캐비티</t>
    </r>
    <r>
      <rPr>
        <b/>
        <sz val="10"/>
        <rFont val="맑은 고딕"/>
        <family val="2"/>
        <charset val="129"/>
      </rPr>
      <t>/</t>
    </r>
    <r>
      <rPr>
        <b/>
        <sz val="10"/>
        <rFont val="Noto Sans CJK SC"/>
        <family val="2"/>
      </rPr>
      <t>시편 단위 측정</t>
    </r>
    <r>
      <rPr>
        <b/>
        <sz val="10"/>
        <rFont val="맑은 고딕"/>
        <family val="2"/>
        <charset val="129"/>
      </rPr>
      <t>)</t>
    </r>
  </si>
  <si>
    <t>반응변수</t>
  </si>
  <si>
    <r>
      <rPr>
        <b/>
        <sz val="10"/>
        <color rgb="FFFFFFFF"/>
        <rFont val="Noto Sans CJK SC"/>
        <family val="2"/>
      </rPr>
      <t xml:space="preserve">단위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형식</t>
    </r>
  </si>
  <si>
    <t>측정 단위</t>
  </si>
  <si>
    <t>유형</t>
  </si>
  <si>
    <r>
      <rPr>
        <b/>
        <sz val="10"/>
        <rFont val="Noto Sans CJK SC"/>
        <family val="2"/>
      </rPr>
      <t xml:space="preserve">표면함침율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핵심</t>
    </r>
    <r>
      <rPr>
        <b/>
        <sz val="10"/>
        <rFont val="맑은 고딕"/>
        <family val="2"/>
        <charset val="129"/>
      </rPr>
      <t>)</t>
    </r>
  </si>
  <si>
    <t>% (P1, P2, P3)</t>
  </si>
  <si>
    <r>
      <rPr>
        <sz val="10"/>
        <rFont val="Noto Sans CJK SC"/>
        <family val="2"/>
      </rPr>
      <t xml:space="preserve">캐비티당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포인트</t>
    </r>
  </si>
  <si>
    <t>연속형</t>
  </si>
  <si>
    <r>
      <rPr>
        <sz val="10"/>
        <rFont val="맑은 고딕"/>
        <family val="2"/>
        <charset val="129"/>
      </rPr>
      <t xml:space="preserve">P1–P3 </t>
    </r>
    <r>
      <rPr>
        <sz val="10"/>
        <rFont val="Noto Sans CJK SC"/>
        <family val="2"/>
      </rPr>
      <t>측정 위치를 도면에 고정해 두고 모든 시편에서 동일 위치 측정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 xml:space="preserve">분석은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 xml:space="preserve">점 평균과 함께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점 범위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불균일도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도 검토</t>
    </r>
  </si>
  <si>
    <t>인장강도</t>
  </si>
  <si>
    <t>MPa</t>
  </si>
  <si>
    <r>
      <rPr>
        <sz val="10"/>
        <rFont val="Noto Sans CJK SC"/>
        <family val="2"/>
      </rPr>
      <t xml:space="preserve">시편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</t>
    </r>
    <r>
      <rPr>
        <sz val="10"/>
        <rFont val="맑은 고딕"/>
        <family val="2"/>
        <charset val="129"/>
      </rPr>
      <t>/</t>
    </r>
    <r>
      <rPr>
        <sz val="10"/>
        <rFont val="Noto Sans CJK SC"/>
        <family val="2"/>
      </rPr>
      <t>캐비티</t>
    </r>
  </si>
  <si>
    <t>시편 채취 위치 고정</t>
  </si>
  <si>
    <t>버 발생 여부</t>
  </si>
  <si>
    <r>
      <rPr>
        <sz val="10"/>
        <rFont val="Noto Sans CJK SC"/>
        <family val="2"/>
      </rPr>
      <t xml:space="preserve">발생 </t>
    </r>
    <r>
      <rPr>
        <sz val="10"/>
        <rFont val="맑은 고딕"/>
        <family val="2"/>
        <charset val="129"/>
      </rPr>
      <t xml:space="preserve">1 / </t>
    </r>
    <r>
      <rPr>
        <sz val="10"/>
        <rFont val="Noto Sans CJK SC"/>
        <family val="2"/>
      </rPr>
      <t xml:space="preserve">미발생 </t>
    </r>
    <r>
      <rPr>
        <sz val="10"/>
        <rFont val="맑은 고딕"/>
        <family val="2"/>
        <charset val="129"/>
      </rPr>
      <t>0</t>
    </r>
  </si>
  <si>
    <t>캐비티</t>
  </si>
  <si>
    <t>이진형</t>
  </si>
  <si>
    <r>
      <rPr>
        <sz val="10"/>
        <rFont val="Noto Sans CJK SC"/>
        <family val="2"/>
      </rPr>
      <t>반복 샷이 있으면 발생률</t>
    </r>
    <r>
      <rPr>
        <sz val="10"/>
        <rFont val="맑은 고딕"/>
        <family val="2"/>
        <charset val="129"/>
      </rPr>
      <t>(0–1)</t>
    </r>
    <r>
      <rPr>
        <sz val="10"/>
        <rFont val="Noto Sans CJK SC"/>
        <family val="2"/>
      </rPr>
      <t>로 요약</t>
    </r>
  </si>
  <si>
    <t>코흘림 여부</t>
  </si>
  <si>
    <r>
      <rPr>
        <sz val="10"/>
        <rFont val="Noto Sans CJK SC"/>
        <family val="2"/>
      </rPr>
      <t xml:space="preserve">캐비티 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노즐</t>
    </r>
    <r>
      <rPr>
        <sz val="10"/>
        <rFont val="맑은 고딕"/>
        <family val="2"/>
        <charset val="129"/>
      </rPr>
      <t>/</t>
    </r>
    <r>
      <rPr>
        <sz val="10"/>
        <rFont val="Noto Sans CJK SC"/>
        <family val="2"/>
      </rPr>
      <t>게이트</t>
    </r>
    <r>
      <rPr>
        <sz val="10"/>
        <rFont val="맑은 고딕"/>
        <family val="2"/>
        <charset val="129"/>
      </rPr>
      <t>)</t>
    </r>
  </si>
  <si>
    <t>무게</t>
  </si>
  <si>
    <t>g</t>
  </si>
  <si>
    <r>
      <rPr>
        <sz val="10"/>
        <rFont val="Noto Sans CJK SC"/>
        <family val="2"/>
      </rPr>
      <t>함침율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충전 상태의 보조 지표</t>
    </r>
  </si>
  <si>
    <r>
      <rPr>
        <b/>
        <sz val="10"/>
        <rFont val="맑은 고딕"/>
        <family val="2"/>
        <charset val="129"/>
      </rPr>
      <t xml:space="preserve">4. </t>
    </r>
    <r>
      <rPr>
        <b/>
        <sz val="10"/>
        <rFont val="Noto Sans CJK SC"/>
        <family val="2"/>
      </rPr>
      <t>설계 구성</t>
    </r>
  </si>
  <si>
    <t>구성</t>
  </si>
  <si>
    <t>조건</t>
  </si>
  <si>
    <t>런 수</t>
  </si>
  <si>
    <t>측정 파팅면</t>
  </si>
  <si>
    <r>
      <rPr>
        <b/>
        <sz val="10"/>
        <color rgb="FFFFFFFF"/>
        <rFont val="Noto Sans CJK SC"/>
        <family val="2"/>
      </rPr>
      <t xml:space="preserve">목적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Noto Sans CJK SC"/>
        <family val="2"/>
      </rPr>
      <t>추정 가능 효과</t>
    </r>
  </si>
  <si>
    <t>① 주 설계</t>
  </si>
  <si>
    <r>
      <rPr>
        <sz val="10"/>
        <rFont val="Noto Sans CJK SC"/>
        <family val="2"/>
      </rPr>
      <t xml:space="preserve">핫러너 온도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 xml:space="preserve">수준 </t>
    </r>
    <r>
      <rPr>
        <sz val="10"/>
        <rFont val="맑은 고딕"/>
        <family val="2"/>
        <charset val="129"/>
      </rPr>
      <t xml:space="preserve">× </t>
    </r>
    <r>
      <rPr>
        <sz val="10"/>
        <rFont val="Noto Sans CJK SC"/>
        <family val="2"/>
      </rPr>
      <t xml:space="preserve">사출속도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수준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금형온도 </t>
    </r>
    <r>
      <rPr>
        <sz val="10"/>
        <rFont val="맑은 고딕"/>
        <family val="2"/>
        <charset val="129"/>
      </rPr>
      <t>60℃</t>
    </r>
  </si>
  <si>
    <t>고정측</t>
  </si>
  <si>
    <r>
      <rPr>
        <sz val="10"/>
        <rFont val="맑은 고딕"/>
        <family val="2"/>
        <charset val="129"/>
      </rPr>
      <t xml:space="preserve">4×4 </t>
    </r>
    <r>
      <rPr>
        <sz val="10"/>
        <rFont val="Noto Sans CJK SC"/>
        <family val="2"/>
      </rPr>
      <t>완전요인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핫러너 온도</t>
    </r>
    <r>
      <rPr>
        <sz val="10"/>
        <rFont val="맑은 고딕"/>
        <family val="2"/>
        <charset val="129"/>
      </rPr>
      <t>(3 df)·</t>
    </r>
    <r>
      <rPr>
        <sz val="10"/>
        <rFont val="Noto Sans CJK SC"/>
        <family val="2"/>
      </rPr>
      <t>사출속도</t>
    </r>
    <r>
      <rPr>
        <sz val="10"/>
        <rFont val="맑은 고딕"/>
        <family val="2"/>
        <charset val="129"/>
      </rPr>
      <t xml:space="preserve">(3 df) </t>
    </r>
    <r>
      <rPr>
        <sz val="10"/>
        <rFont val="Noto Sans CJK SC"/>
        <family val="2"/>
      </rPr>
      <t xml:space="preserve">주효과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>교호작용</t>
    </r>
    <r>
      <rPr>
        <sz val="10"/>
        <rFont val="맑은 고딕"/>
        <family val="2"/>
        <charset val="129"/>
      </rPr>
      <t xml:space="preserve">(9 df). </t>
    </r>
    <r>
      <rPr>
        <sz val="10"/>
        <rFont val="Noto Sans CJK SC"/>
        <family val="2"/>
      </rPr>
      <t>무반복이므로 회귀모형</t>
    </r>
    <r>
      <rPr>
        <sz val="10"/>
        <rFont val="맑은 고딕"/>
        <family val="2"/>
        <charset val="129"/>
      </rPr>
      <t>(1·2</t>
    </r>
    <r>
      <rPr>
        <sz val="10"/>
        <rFont val="Noto Sans CJK SC"/>
        <family val="2"/>
      </rPr>
      <t xml:space="preserve">차항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>교호작용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으로 적합하고 나머지를 오차로 사용</t>
    </r>
  </si>
  <si>
    <t>② 추가 실험</t>
  </si>
  <si>
    <r>
      <rPr>
        <sz val="10"/>
        <rFont val="Noto Sans CJK SC"/>
        <family val="2"/>
      </rPr>
      <t xml:space="preserve">핫러너 온도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수준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금형온도 </t>
    </r>
    <r>
      <rPr>
        <sz val="10"/>
        <rFont val="맑은 고딕"/>
        <family val="2"/>
        <charset val="129"/>
      </rPr>
      <t xml:space="preserve">40℃, </t>
    </r>
    <r>
      <rPr>
        <sz val="10"/>
        <rFont val="Noto Sans CJK SC"/>
        <family val="2"/>
      </rPr>
      <t xml:space="preserve">사출속도 </t>
    </r>
    <r>
      <rPr>
        <sz val="10"/>
        <rFont val="맑은 고딕"/>
        <family val="2"/>
        <charset val="129"/>
      </rPr>
      <t>80 mm/s</t>
    </r>
  </si>
  <si>
    <r>
      <rPr>
        <sz val="10"/>
        <rFont val="Noto Sans CJK SC"/>
        <family val="2"/>
      </rPr>
      <t>같은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 xml:space="preserve">속도의 </t>
    </r>
    <r>
      <rPr>
        <sz val="10"/>
        <rFont val="맑은 고딕"/>
        <family val="2"/>
        <charset val="129"/>
      </rPr>
      <t xml:space="preserve">60℃ </t>
    </r>
    <r>
      <rPr>
        <sz val="10"/>
        <rFont val="Noto Sans CJK SC"/>
        <family val="2"/>
      </rPr>
      <t>런과 짝 비교 → 금형온도 효과</t>
    </r>
    <r>
      <rPr>
        <sz val="10"/>
        <rFont val="맑은 고딕"/>
        <family val="2"/>
        <charset val="129"/>
      </rPr>
      <t>(1 df)</t>
    </r>
    <r>
      <rPr>
        <sz val="10"/>
        <rFont val="Noto Sans CJK SC"/>
        <family val="2"/>
      </rPr>
      <t>와 금형온도</t>
    </r>
    <r>
      <rPr>
        <sz val="10"/>
        <rFont val="맑은 고딕"/>
        <family val="2"/>
        <charset val="129"/>
      </rPr>
      <t>×</t>
    </r>
    <r>
      <rPr>
        <sz val="10"/>
        <rFont val="Noto Sans CJK SC"/>
        <family val="2"/>
      </rPr>
      <t>핫러너 온도 교호작용</t>
    </r>
    <r>
      <rPr>
        <sz val="10"/>
        <rFont val="맑은 고딕"/>
        <family val="2"/>
        <charset val="129"/>
      </rPr>
      <t>(3 df)</t>
    </r>
    <r>
      <rPr>
        <sz val="10"/>
        <rFont val="Noto Sans CJK SC"/>
        <family val="2"/>
      </rPr>
      <t xml:space="preserve">을 속도 </t>
    </r>
    <r>
      <rPr>
        <sz val="10"/>
        <rFont val="맑은 고딕"/>
        <family val="2"/>
        <charset val="129"/>
      </rPr>
      <t xml:space="preserve">80 mm/s </t>
    </r>
    <r>
      <rPr>
        <sz val="10"/>
        <rFont val="Noto Sans CJK SC"/>
        <family val="2"/>
      </rPr>
      <t>조건에서 추정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짝</t>
    </r>
    <r>
      <rPr>
        <sz val="10"/>
        <rFont val="맑은 고딕"/>
        <family val="2"/>
        <charset val="129"/>
      </rPr>
      <t>: 210℃→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2"/>
        <charset val="129"/>
      </rPr>
      <t>17↔4, 223℃→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2"/>
        <charset val="129"/>
      </rPr>
      <t>18↔8, 237℃→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2"/>
        <charset val="129"/>
      </rPr>
      <t>19↔12, 250℃→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2"/>
        <charset val="129"/>
      </rPr>
      <t>20↔16</t>
    </r>
  </si>
  <si>
    <r>
      <rPr>
        <b/>
        <sz val="10"/>
        <rFont val="Noto Sans CJK SC"/>
        <family val="2"/>
      </rPr>
      <t xml:space="preserve">③ 이동측 </t>
    </r>
    <r>
      <rPr>
        <b/>
        <sz val="10"/>
        <rFont val="맑은 고딕"/>
        <family val="2"/>
        <charset val="129"/>
      </rPr>
      <t>2²</t>
    </r>
  </si>
  <si>
    <r>
      <rPr>
        <sz val="10"/>
        <rFont val="Noto Sans CJK SC"/>
        <family val="2"/>
      </rPr>
      <t xml:space="preserve">핫러너 온도 </t>
    </r>
    <r>
      <rPr>
        <sz val="10"/>
        <rFont val="맑은 고딕"/>
        <family val="2"/>
        <charset val="129"/>
      </rPr>
      <t xml:space="preserve">210/250 × </t>
    </r>
    <r>
      <rPr>
        <sz val="10"/>
        <rFont val="Noto Sans CJK SC"/>
        <family val="2"/>
      </rPr>
      <t xml:space="preserve">사출속도 </t>
    </r>
    <r>
      <rPr>
        <sz val="10"/>
        <rFont val="맑은 고딕"/>
        <family val="2"/>
        <charset val="129"/>
      </rPr>
      <t xml:space="preserve">20/80, </t>
    </r>
    <r>
      <rPr>
        <sz val="10"/>
        <rFont val="Noto Sans CJK SC"/>
        <family val="2"/>
      </rPr>
      <t xml:space="preserve">금형온도 </t>
    </r>
    <r>
      <rPr>
        <sz val="10"/>
        <rFont val="맑은 고딕"/>
        <family val="2"/>
        <charset val="129"/>
      </rPr>
      <t>60℃</t>
    </r>
  </si>
  <si>
    <r>
      <rPr>
        <sz val="10"/>
        <rFont val="Noto Sans CJK SC"/>
        <family val="2"/>
      </rPr>
      <t xml:space="preserve">이동측 </t>
    </r>
    <r>
      <rPr>
        <sz val="10"/>
        <rFont val="맑은 고딕"/>
        <family val="2"/>
        <charset val="129"/>
      </rPr>
      <t>(①</t>
    </r>
    <r>
      <rPr>
        <sz val="10"/>
        <rFont val="Noto Sans CJK SC"/>
        <family val="2"/>
      </rPr>
      <t>의 꼭짓점 런에서 추가 측정</t>
    </r>
    <r>
      <rPr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</si>
  <si>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 xml:space="preserve">이동측 주효과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 xml:space="preserve">개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 xml:space="preserve">교호작용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</t>
    </r>
    <r>
      <rPr>
        <sz val="10"/>
        <rFont val="맑은 고딕"/>
        <family val="2"/>
        <charset val="129"/>
      </rPr>
      <t xml:space="preserve">(3 df, </t>
    </r>
    <r>
      <rPr>
        <sz val="10"/>
        <rFont val="Noto Sans CJK SC"/>
        <family val="2"/>
      </rPr>
      <t xml:space="preserve">오차 </t>
    </r>
    <r>
      <rPr>
        <sz val="10"/>
        <rFont val="맑은 고딕"/>
        <family val="2"/>
        <charset val="129"/>
      </rPr>
      <t xml:space="preserve">df 0 → </t>
    </r>
    <r>
      <rPr>
        <sz val="10"/>
        <rFont val="Noto Sans CJK SC"/>
        <family val="2"/>
      </rPr>
      <t>반복 샷 부표본 또는 교호작용 풀링</t>
    </r>
    <r>
      <rPr>
        <sz val="10"/>
        <rFont val="맑은 고딕"/>
        <family val="2"/>
        <charset val="129"/>
      </rPr>
      <t xml:space="preserve">). </t>
    </r>
    <r>
      <rPr>
        <sz val="10"/>
        <rFont val="Noto Sans CJK SC"/>
        <family val="2"/>
      </rPr>
      <t>같은 런의 고정측과 파팅면 간 차이 비교</t>
    </r>
  </si>
  <si>
    <t>합계</t>
  </si>
  <si>
    <r>
      <rPr>
        <b/>
        <sz val="10"/>
        <rFont val="Noto Sans CJK SC"/>
        <family val="2"/>
      </rPr>
      <t xml:space="preserve">사출조건 </t>
    </r>
    <r>
      <rPr>
        <b/>
        <sz val="10"/>
        <rFont val="맑은 고딕"/>
        <family val="2"/>
        <charset val="129"/>
      </rPr>
      <t>20</t>
    </r>
    <r>
      <rPr>
        <b/>
        <sz val="10"/>
        <rFont val="Noto Sans CJK SC"/>
        <family val="2"/>
      </rPr>
      <t>개</t>
    </r>
  </si>
  <si>
    <r>
      <rPr>
        <b/>
        <sz val="10"/>
        <rFont val="맑은 고딕"/>
        <family val="2"/>
        <charset val="129"/>
      </rPr>
      <t xml:space="preserve">20 </t>
    </r>
    <r>
      <rPr>
        <b/>
        <sz val="10"/>
        <rFont val="Noto Sans CJK SC"/>
        <family val="2"/>
      </rPr>
      <t xml:space="preserve">런 </t>
    </r>
    <r>
      <rPr>
        <b/>
        <sz val="10"/>
        <rFont val="맑은 고딕"/>
        <family val="2"/>
        <charset val="129"/>
      </rPr>
      <t xml:space="preserve">/ 24 </t>
    </r>
    <r>
      <rPr>
        <b/>
        <sz val="10"/>
        <rFont val="Noto Sans CJK SC"/>
        <family val="2"/>
      </rPr>
      <t>시편</t>
    </r>
  </si>
  <si>
    <r>
      <rPr>
        <b/>
        <sz val="10"/>
        <rFont val="Noto Sans CJK SC"/>
        <family val="2"/>
      </rPr>
      <t xml:space="preserve">고정측 </t>
    </r>
    <r>
      <rPr>
        <b/>
        <sz val="10"/>
        <rFont val="맑은 고딕"/>
        <family val="2"/>
        <charset val="129"/>
      </rPr>
      <t xml:space="preserve">20 + </t>
    </r>
    <r>
      <rPr>
        <b/>
        <sz val="10"/>
        <rFont val="Noto Sans CJK SC"/>
        <family val="2"/>
      </rPr>
      <t xml:space="preserve">이동측 </t>
    </r>
    <r>
      <rPr>
        <b/>
        <sz val="10"/>
        <rFont val="맑은 고딕"/>
        <family val="2"/>
        <charset val="129"/>
      </rPr>
      <t>4</t>
    </r>
  </si>
  <si>
    <r>
      <rPr>
        <b/>
        <sz val="10"/>
        <rFont val="Noto Sans CJK SC"/>
        <family val="2"/>
      </rPr>
      <t xml:space="preserve">이동측 조건이 모두 고정측 런에 내포 → 추가 성형 런 </t>
    </r>
    <r>
      <rPr>
        <b/>
        <sz val="10"/>
        <rFont val="맑은 고딕"/>
        <family val="2"/>
        <charset val="129"/>
      </rPr>
      <t>0</t>
    </r>
  </si>
  <si>
    <r>
      <rPr>
        <b/>
        <sz val="10"/>
        <rFont val="맑은 고딕"/>
        <family val="2"/>
        <charset val="129"/>
      </rPr>
      <t xml:space="preserve">5. </t>
    </r>
    <r>
      <rPr>
        <b/>
        <sz val="10"/>
        <rFont val="Noto Sans CJK SC"/>
        <family val="2"/>
      </rPr>
      <t xml:space="preserve">실험 노력 비교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 xml:space="preserve">샷 </t>
    </r>
    <r>
      <rPr>
        <b/>
        <sz val="10"/>
        <rFont val="맑은 고딕"/>
        <family val="2"/>
        <charset val="129"/>
      </rPr>
      <t>1</t>
    </r>
    <r>
      <rPr>
        <b/>
        <sz val="10"/>
        <rFont val="Noto Sans CJK SC"/>
        <family val="2"/>
      </rPr>
      <t>회 기준</t>
    </r>
    <r>
      <rPr>
        <b/>
        <sz val="10"/>
        <rFont val="맑은 고딕"/>
        <family val="2"/>
        <charset val="129"/>
      </rPr>
      <t xml:space="preserve">; </t>
    </r>
    <r>
      <rPr>
        <b/>
        <sz val="10"/>
        <rFont val="Noto Sans CJK SC"/>
        <family val="2"/>
      </rPr>
      <t>반복 샷 수만큼 비례</t>
    </r>
    <r>
      <rPr>
        <b/>
        <sz val="10"/>
        <rFont val="맑은 고딕"/>
        <family val="2"/>
        <charset val="129"/>
      </rPr>
      <t>)</t>
    </r>
  </si>
  <si>
    <t>항목</t>
  </si>
  <si>
    <r>
      <rPr>
        <b/>
        <sz val="10"/>
        <color rgb="FFFFFFFF"/>
        <rFont val="Noto Sans CJK SC"/>
        <family val="2"/>
      </rPr>
      <t xml:space="preserve">양측 모두 </t>
    </r>
    <r>
      <rPr>
        <b/>
        <sz val="10"/>
        <color rgb="FFFFFFFF"/>
        <rFont val="맑은 고딕"/>
        <family val="2"/>
        <charset val="129"/>
      </rPr>
      <t>20</t>
    </r>
    <r>
      <rPr>
        <b/>
        <sz val="10"/>
        <color rgb="FFFFFFFF"/>
        <rFont val="Noto Sans CJK SC"/>
        <family val="2"/>
      </rPr>
      <t xml:space="preserve">런 측정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비교 기준</t>
    </r>
    <r>
      <rPr>
        <b/>
        <sz val="10"/>
        <color rgb="FFFFFFFF"/>
        <rFont val="맑은 고딕"/>
        <family val="2"/>
        <charset val="129"/>
      </rPr>
      <t>)</t>
    </r>
  </si>
  <si>
    <t>본 설계</t>
  </si>
  <si>
    <t>절감</t>
  </si>
  <si>
    <t>산출 근거</t>
  </si>
  <si>
    <r>
      <rPr>
        <b/>
        <sz val="10"/>
        <rFont val="Noto Sans CJK SC"/>
        <family val="2"/>
      </rPr>
      <t xml:space="preserve">사출조건 설정 횟수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런 수</t>
    </r>
    <r>
      <rPr>
        <b/>
        <sz val="10"/>
        <rFont val="맑은 고딕"/>
        <family val="2"/>
        <charset val="129"/>
      </rPr>
      <t>)</t>
    </r>
  </si>
  <si>
    <t>이동측 조건이 고정측 런에 내포되어 추가 런 없음</t>
  </si>
  <si>
    <r>
      <rPr>
        <b/>
        <sz val="10"/>
        <rFont val="Noto Sans CJK SC"/>
        <family val="2"/>
      </rPr>
      <t xml:space="preserve">측정 시편 수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 xml:space="preserve">캐비티 </t>
    </r>
    <r>
      <rPr>
        <b/>
        <sz val="10"/>
        <rFont val="맑은 고딕"/>
        <family val="2"/>
        <charset val="129"/>
      </rPr>
      <t xml:space="preserve">× </t>
    </r>
    <r>
      <rPr>
        <b/>
        <sz val="10"/>
        <rFont val="Noto Sans CJK SC"/>
        <family val="2"/>
      </rPr>
      <t>런</t>
    </r>
    <r>
      <rPr>
        <b/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</si>
  <si>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 xml:space="preserve">고정측 </t>
    </r>
    <r>
      <rPr>
        <sz val="10"/>
        <rFont val="맑은 고딕"/>
        <family val="2"/>
        <charset val="129"/>
      </rPr>
      <t xml:space="preserve">20 + </t>
    </r>
    <r>
      <rPr>
        <sz val="10"/>
        <rFont val="Noto Sans CJK SC"/>
        <family val="2"/>
      </rPr>
      <t xml:space="preserve">이동측 </t>
    </r>
    <r>
      <rPr>
        <sz val="10"/>
        <rFont val="맑은 고딕"/>
        <family val="2"/>
        <charset val="129"/>
      </rPr>
      <t>4</t>
    </r>
  </si>
  <si>
    <t>표면함침율 측정 포인트 수</t>
  </si>
  <si>
    <r>
      <rPr>
        <sz val="10"/>
        <rFont val="Noto Sans CJK SC"/>
        <family val="2"/>
      </rPr>
      <t xml:space="preserve">시편 수 </t>
    </r>
    <r>
      <rPr>
        <sz val="10"/>
        <rFont val="맑은 고딕"/>
        <family val="2"/>
        <charset val="129"/>
      </rPr>
      <t>× 3</t>
    </r>
    <r>
      <rPr>
        <sz val="10"/>
        <rFont val="Noto Sans CJK SC"/>
        <family val="2"/>
      </rPr>
      <t>포인트</t>
    </r>
  </si>
  <si>
    <t>인장시험 시편 수</t>
  </si>
  <si>
    <r>
      <rPr>
        <sz val="10"/>
        <rFont val="Noto Sans CJK SC"/>
        <family val="2"/>
      </rPr>
      <t xml:space="preserve">시편당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개</t>
    </r>
  </si>
  <si>
    <r>
      <rPr>
        <sz val="9"/>
        <color rgb="FF595959"/>
        <rFont val="Noto Sans CJK SC"/>
        <family val="2"/>
      </rPr>
      <t>※ 파란색 숫자는 설계에서 산출한 입력값</t>
    </r>
    <r>
      <rPr>
        <sz val="9"/>
        <color rgb="FF595959"/>
        <rFont val="맑은 고딕"/>
        <family val="2"/>
        <charset val="129"/>
      </rPr>
      <t xml:space="preserve">, </t>
    </r>
    <r>
      <rPr>
        <sz val="9"/>
        <color rgb="FF595959"/>
        <rFont val="Noto Sans CJK SC"/>
        <family val="2"/>
      </rPr>
      <t>절감률은 수식</t>
    </r>
    <r>
      <rPr>
        <sz val="9"/>
        <color rgb="FF595959"/>
        <rFont val="맑은 고딕"/>
        <family val="2"/>
        <charset val="129"/>
      </rPr>
      <t xml:space="preserve">. </t>
    </r>
    <r>
      <rPr>
        <sz val="9"/>
        <color rgb="FF595959"/>
        <rFont val="Noto Sans CJK SC"/>
        <family val="2"/>
      </rPr>
      <t xml:space="preserve">비교 기준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고정측 </t>
    </r>
    <r>
      <rPr>
        <sz val="9"/>
        <color rgb="FF595959"/>
        <rFont val="맑은 고딕"/>
        <family val="2"/>
        <charset val="129"/>
      </rPr>
      <t>20</t>
    </r>
    <r>
      <rPr>
        <sz val="9"/>
        <color rgb="FF595959"/>
        <rFont val="Noto Sans CJK SC"/>
        <family val="2"/>
      </rPr>
      <t xml:space="preserve">런 </t>
    </r>
    <r>
      <rPr>
        <sz val="9"/>
        <color rgb="FF595959"/>
        <rFont val="맑은 고딕"/>
        <family val="2"/>
        <charset val="129"/>
      </rPr>
      <t xml:space="preserve">+ </t>
    </r>
    <r>
      <rPr>
        <sz val="9"/>
        <color rgb="FF595959"/>
        <rFont val="Noto Sans CJK SC"/>
        <family val="2"/>
      </rPr>
      <t xml:space="preserve">이동측 </t>
    </r>
    <r>
      <rPr>
        <sz val="9"/>
        <color rgb="FF595959"/>
        <rFont val="맑은 고딕"/>
        <family val="2"/>
        <charset val="129"/>
      </rPr>
      <t>20</t>
    </r>
    <r>
      <rPr>
        <sz val="9"/>
        <color rgb="FF595959"/>
        <rFont val="Noto Sans CJK SC"/>
        <family val="2"/>
      </rPr>
      <t>런을 각각 측정하는 경우</t>
    </r>
    <r>
      <rPr>
        <sz val="9"/>
        <color rgb="FF595959"/>
        <rFont val="맑은 고딕"/>
        <family val="2"/>
        <charset val="129"/>
      </rPr>
      <t>.</t>
    </r>
  </si>
  <si>
    <r>
      <rPr>
        <b/>
        <sz val="10"/>
        <rFont val="맑은 고딕"/>
        <family val="2"/>
        <charset val="129"/>
      </rPr>
      <t xml:space="preserve">6. </t>
    </r>
    <r>
      <rPr>
        <b/>
        <sz val="10"/>
        <rFont val="Noto Sans CJK SC"/>
        <family val="2"/>
      </rPr>
      <t>실행순서 및 분석 시 유의사항</t>
    </r>
  </si>
  <si>
    <r>
      <rPr>
        <sz val="10"/>
        <rFont val="맑은 고딕"/>
        <family val="2"/>
        <charset val="129"/>
      </rPr>
      <t xml:space="preserve">1) </t>
    </r>
    <r>
      <rPr>
        <sz val="10"/>
        <rFont val="Noto Sans CJK SC"/>
        <family val="2"/>
      </rPr>
      <t>실행순서</t>
    </r>
    <r>
      <rPr>
        <sz val="10"/>
        <rFont val="맑은 고딕"/>
        <family val="2"/>
        <charset val="129"/>
      </rPr>
      <t xml:space="preserve">: </t>
    </r>
    <r>
      <rPr>
        <sz val="10"/>
        <rFont val="Noto Sans CJK SC"/>
        <family val="2"/>
      </rPr>
      <t xml:space="preserve">주 설계 </t>
    </r>
    <r>
      <rPr>
        <sz val="10"/>
        <rFont val="맑은 고딕"/>
        <family val="2"/>
        <charset val="129"/>
      </rPr>
      <t>16</t>
    </r>
    <r>
      <rPr>
        <sz val="10"/>
        <rFont val="Noto Sans CJK SC"/>
        <family val="2"/>
      </rPr>
      <t>런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금형온도 </t>
    </r>
    <r>
      <rPr>
        <sz val="10"/>
        <rFont val="맑은 고딕"/>
        <family val="2"/>
        <charset val="129"/>
      </rPr>
      <t>60℃)</t>
    </r>
    <r>
      <rPr>
        <sz val="10"/>
        <rFont val="Noto Sans CJK SC"/>
        <family val="2"/>
      </rPr>
      <t xml:space="preserve">을 먼저 수행 — 핫러너 온도 오름차순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블록</t>
    </r>
    <r>
      <rPr>
        <sz val="10"/>
        <rFont val="맑은 고딕"/>
        <family val="2"/>
        <charset val="129"/>
      </rPr>
      <t xml:space="preserve">(210→223→237→250, </t>
    </r>
    <r>
      <rPr>
        <sz val="10"/>
        <rFont val="Noto Sans CJK SC"/>
        <family val="2"/>
      </rPr>
      <t>승온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안정화 시간 절약</t>
    </r>
    <r>
      <rPr>
        <sz val="10"/>
        <rFont val="맑은 고딕"/>
        <family val="2"/>
        <charset val="129"/>
      </rPr>
      <t xml:space="preserve">), </t>
    </r>
    <r>
      <rPr>
        <sz val="10"/>
        <rFont val="Noto Sans CJK SC"/>
        <family val="2"/>
      </rPr>
      <t>블록 내 사출속도 순서는 무작위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난수 </t>
    </r>
    <r>
      <rPr>
        <sz val="10"/>
        <rFont val="맑은 고딕"/>
        <family val="2"/>
        <charset val="129"/>
      </rPr>
      <t xml:space="preserve">seed = 20260914). </t>
    </r>
    <r>
      <rPr>
        <sz val="10"/>
        <rFont val="Noto Sans CJK SC"/>
        <family val="2"/>
      </rPr>
      <t xml:space="preserve">이어서 금형온도를 </t>
    </r>
    <r>
      <rPr>
        <sz val="10"/>
        <rFont val="맑은 고딕"/>
        <family val="2"/>
        <charset val="129"/>
      </rPr>
      <t>40℃</t>
    </r>
    <r>
      <rPr>
        <sz val="10"/>
        <rFont val="Noto Sans CJK SC"/>
        <family val="2"/>
      </rPr>
      <t xml:space="preserve">로 내리고 추가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런을 핫러너 온도 내림차순</t>
    </r>
    <r>
      <rPr>
        <sz val="10"/>
        <rFont val="맑은 고딕"/>
        <family val="2"/>
        <charset val="129"/>
      </rPr>
      <t>(250→237→223→210)</t>
    </r>
    <r>
      <rPr>
        <sz val="10"/>
        <rFont val="Noto Sans CJK SC"/>
        <family val="2"/>
      </rPr>
      <t>으로 수행한다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마지막 블록이 </t>
    </r>
    <r>
      <rPr>
        <sz val="10"/>
        <rFont val="맑은 고딕"/>
        <family val="2"/>
        <charset val="129"/>
      </rPr>
      <t>250℃</t>
    </r>
    <r>
      <rPr>
        <sz val="10"/>
        <rFont val="Noto Sans CJK SC"/>
        <family val="2"/>
      </rPr>
      <t xml:space="preserve">이므로 온도 변경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회 절약</t>
    </r>
    <r>
      <rPr>
        <sz val="10"/>
        <rFont val="맑은 고딕"/>
        <family val="2"/>
        <charset val="129"/>
      </rPr>
      <t xml:space="preserve">). </t>
    </r>
    <r>
      <rPr>
        <sz val="10"/>
        <rFont val="Noto Sans CJK SC"/>
        <family val="2"/>
      </rPr>
      <t xml:space="preserve">금형온도 변경 </t>
    </r>
    <r>
      <rPr>
        <sz val="10"/>
        <rFont val="맑은 고딕"/>
        <family val="2"/>
        <charset val="129"/>
      </rPr>
      <t>1</t>
    </r>
    <r>
      <rPr>
        <sz val="10"/>
        <rFont val="Noto Sans CJK SC"/>
        <family val="2"/>
      </rPr>
      <t>회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핫러너 온도 변경 </t>
    </r>
    <r>
      <rPr>
        <sz val="10"/>
        <rFont val="맑은 고딕"/>
        <family val="2"/>
        <charset val="129"/>
      </rPr>
      <t>6</t>
    </r>
    <r>
      <rPr>
        <sz val="10"/>
        <rFont val="Noto Sans CJK SC"/>
        <family val="2"/>
      </rPr>
      <t>회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표준순서 열을 함께 두었다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</si>
  <si>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2) </t>
    </r>
    <r>
      <rPr>
        <sz val="10"/>
        <rFont val="Noto Sans CJK SC"/>
        <family val="2"/>
      </rPr>
      <t>핫러너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금형온도는 완전 무작위화되지 않은 제한 무작위화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분할구</t>
    </r>
    <r>
      <rPr>
        <sz val="10"/>
        <rFont val="맑은 고딕"/>
        <family val="2"/>
        <charset val="129"/>
      </rPr>
      <t xml:space="preserve">, split-plot) </t>
    </r>
    <r>
      <rPr>
        <sz val="10"/>
        <rFont val="Noto Sans CJK SC"/>
        <family val="2"/>
      </rPr>
      <t>구조이며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추가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런은 모두 실험 후반에 몰려 있어 금형온도 효과가 시간 추세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재료 로트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기계 상태 변화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와 혼입될 수 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각 온도 블록 시작 시와 금형온도 변경 후에는 퍼지 샷으로 안정화를 확인한 뒤 시편을 채취하고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 xml:space="preserve">가능하면 추가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런은 주 설계와 같은 날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같은 재료 로트로 진행한다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</si>
  <si>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3) </t>
    </r>
    <r>
      <rPr>
        <sz val="10"/>
        <rFont val="Noto Sans CJK SC"/>
        <family val="2"/>
      </rPr>
      <t>매 런에서 두 파팅면은 동일 조건으로 성형된다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핫러너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금형온도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사출속도 및 모든 고정변수를 양측 동일하게 설정</t>
    </r>
    <r>
      <rPr>
        <sz val="10"/>
        <rFont val="맑은 고딕"/>
        <family val="2"/>
        <charset val="129"/>
      </rPr>
      <t xml:space="preserve">). </t>
    </r>
    <r>
      <rPr>
        <sz val="10"/>
        <rFont val="Noto Sans CJK SC"/>
        <family val="2"/>
      </rPr>
      <t xml:space="preserve">이동측 성형품은 </t>
    </r>
    <r>
      <rPr>
        <sz val="10"/>
        <rFont val="맑은 고딕"/>
        <family val="2"/>
        <charset val="129"/>
      </rPr>
      <t>20</t>
    </r>
    <r>
      <rPr>
        <sz val="10"/>
        <rFont val="Noto Sans CJK SC"/>
        <family val="2"/>
      </rPr>
      <t>런 모두 나오므로 런 번호를 표기해 보관하면 추후 이동측 분석 확장이 가능하다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</si>
  <si>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4) </t>
    </r>
    <r>
      <rPr>
        <sz val="10"/>
        <rFont val="Noto Sans CJK SC"/>
        <family val="2"/>
      </rPr>
      <t>선택 사항</t>
    </r>
    <r>
      <rPr>
        <sz val="10"/>
        <rFont val="맑은 고딕"/>
        <family val="2"/>
        <charset val="129"/>
      </rPr>
      <t xml:space="preserve">: 40℃ </t>
    </r>
    <r>
      <rPr>
        <sz val="10"/>
        <rFont val="Noto Sans CJK SC"/>
        <family val="2"/>
      </rPr>
      <t xml:space="preserve">추가 런 중 실행순서 </t>
    </r>
    <r>
      <rPr>
        <sz val="10"/>
        <rFont val="맑은 고딕"/>
        <family val="2"/>
        <charset val="129"/>
      </rPr>
      <t xml:space="preserve">17(250℃), </t>
    </r>
    <r>
      <rPr>
        <sz val="10"/>
        <rFont val="Noto Sans CJK SC"/>
        <family val="2"/>
      </rPr>
      <t xml:space="preserve">실행순서 </t>
    </r>
    <r>
      <rPr>
        <sz val="10"/>
        <rFont val="맑은 고딕"/>
        <family val="2"/>
        <charset val="129"/>
      </rPr>
      <t>20(210℃)</t>
    </r>
    <r>
      <rPr>
        <sz val="10"/>
        <rFont val="Noto Sans CJK SC"/>
        <family val="2"/>
      </rPr>
      <t>의 이동측 시편도 측정하면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시편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개 추가</t>
    </r>
    <r>
      <rPr>
        <sz val="10"/>
        <rFont val="맑은 고딕"/>
        <family val="2"/>
        <charset val="129"/>
      </rPr>
      <t xml:space="preserve">) </t>
    </r>
    <r>
      <rPr>
        <sz val="10"/>
        <rFont val="Noto Sans CJK SC"/>
        <family val="2"/>
      </rPr>
      <t>이동측에서도 금형온도 영향</t>
    </r>
    <r>
      <rPr>
        <sz val="10"/>
        <rFont val="맑은 고딕"/>
        <family val="2"/>
        <charset val="129"/>
      </rPr>
      <t xml:space="preserve">(40 vs 60, </t>
    </r>
    <r>
      <rPr>
        <sz val="10"/>
        <rFont val="Noto Sans CJK SC"/>
        <family val="2"/>
      </rPr>
      <t xml:space="preserve">속도 </t>
    </r>
    <r>
      <rPr>
        <sz val="10"/>
        <rFont val="맑은 고딕"/>
        <family val="2"/>
        <charset val="129"/>
      </rPr>
      <t>80 mm/s)</t>
    </r>
    <r>
      <rPr>
        <sz val="10"/>
        <rFont val="Noto Sans CJK SC"/>
        <family val="2"/>
      </rPr>
      <t>을 확인할 수 있다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</si>
  <si>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5) </t>
    </r>
    <r>
      <rPr>
        <sz val="10"/>
        <rFont val="Noto Sans CJK SC"/>
        <family val="2"/>
      </rPr>
      <t>고정측 분석</t>
    </r>
    <r>
      <rPr>
        <sz val="10"/>
        <rFont val="맑은 고딕"/>
        <family val="2"/>
        <charset val="129"/>
      </rPr>
      <t>: ① 16</t>
    </r>
    <r>
      <rPr>
        <sz val="10"/>
        <rFont val="Noto Sans CJK SC"/>
        <family val="2"/>
      </rPr>
      <t>런만으로 핫러너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사출속도의 반응표면</t>
    </r>
    <r>
      <rPr>
        <sz val="10"/>
        <rFont val="맑은 고딕"/>
        <family val="2"/>
        <charset val="129"/>
      </rPr>
      <t>(2</t>
    </r>
    <r>
      <rPr>
        <sz val="10"/>
        <rFont val="Noto Sans CJK SC"/>
        <family val="2"/>
      </rPr>
      <t xml:space="preserve">차 다항 </t>
    </r>
    <r>
      <rPr>
        <sz val="10"/>
        <rFont val="맑은 고딕"/>
        <family val="2"/>
        <charset val="129"/>
      </rPr>
      <t xml:space="preserve">+ </t>
    </r>
    <r>
      <rPr>
        <sz val="10"/>
        <rFont val="Noto Sans CJK SC"/>
        <family val="2"/>
      </rPr>
      <t>교호작용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을 적합하고</t>
    </r>
    <r>
      <rPr>
        <sz val="10"/>
        <rFont val="맑은 고딕"/>
        <family val="2"/>
        <charset val="129"/>
      </rPr>
      <t>, ② 40℃ 4</t>
    </r>
    <r>
      <rPr>
        <sz val="10"/>
        <rFont val="Noto Sans CJK SC"/>
        <family val="2"/>
      </rPr>
      <t>런은 짝 런과의 차이</t>
    </r>
    <r>
      <rPr>
        <sz val="10"/>
        <rFont val="맑은 고딕"/>
        <family val="2"/>
        <charset val="129"/>
      </rPr>
      <t>(60℃ − 40℃)</t>
    </r>
    <r>
      <rPr>
        <sz val="10"/>
        <rFont val="Noto Sans CJK SC"/>
        <family val="2"/>
      </rPr>
      <t>로 금형온도 효과를 온도별로 확인한다</t>
    </r>
    <r>
      <rPr>
        <sz val="10"/>
        <rFont val="맑은 고딕"/>
        <family val="2"/>
        <charset val="129"/>
      </rPr>
      <t>. 20</t>
    </r>
    <r>
      <rPr>
        <sz val="10"/>
        <rFont val="Noto Sans CJK SC"/>
        <family val="2"/>
      </rPr>
      <t xml:space="preserve">런을 한 모형에 넣을 때는 금형온도를 </t>
    </r>
    <r>
      <rPr>
        <sz val="10"/>
        <rFont val="맑은 고딕"/>
        <family val="2"/>
        <charset val="129"/>
      </rPr>
      <t>2</t>
    </r>
    <r>
      <rPr>
        <sz val="10"/>
        <rFont val="Noto Sans CJK SC"/>
        <family val="2"/>
      </rPr>
      <t>수준 인자로 두고 금형온도</t>
    </r>
    <r>
      <rPr>
        <sz val="10"/>
        <rFont val="맑은 고딕"/>
        <family val="2"/>
        <charset val="129"/>
      </rPr>
      <t>×</t>
    </r>
    <r>
      <rPr>
        <sz val="10"/>
        <rFont val="Noto Sans CJK SC"/>
        <family val="2"/>
      </rPr>
      <t>사출속도 항은 넣지 않는다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속도 </t>
    </r>
    <r>
      <rPr>
        <sz val="10"/>
        <rFont val="맑은 고딕"/>
        <family val="2"/>
        <charset val="129"/>
      </rPr>
      <t>80</t>
    </r>
    <r>
      <rPr>
        <sz val="10"/>
        <rFont val="Noto Sans CJK SC"/>
        <family val="2"/>
      </rPr>
      <t>에서만 관측되므로 추정 불가</t>
    </r>
    <r>
      <rPr>
        <sz val="10"/>
        <rFont val="맑은 고딕"/>
        <family val="2"/>
        <charset val="129"/>
      </rPr>
      <t>).</t>
    </r>
  </si>
  <si>
    <r>
      <rPr>
        <sz val="10"/>
        <rFont val="맑은 고딕"/>
        <family val="2"/>
        <charset val="129"/>
      </rPr>
      <t xml:space="preserve">6) </t>
    </r>
    <r>
      <rPr>
        <sz val="10"/>
        <rFont val="Noto Sans CJK SC"/>
        <family val="2"/>
      </rPr>
      <t>버 발생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 xml:space="preserve">코흘림은 이진 반응이므로 </t>
    </r>
    <r>
      <rPr>
        <sz val="10"/>
        <rFont val="맑은 고딕"/>
        <family val="2"/>
        <charset val="129"/>
      </rPr>
      <t xml:space="preserve">ANOVA </t>
    </r>
    <r>
      <rPr>
        <sz val="10"/>
        <rFont val="Noto Sans CJK SC"/>
        <family val="2"/>
      </rPr>
      <t xml:space="preserve">대신 </t>
    </r>
    <r>
      <rPr>
        <sz val="10"/>
        <rFont val="맑은 고딕"/>
        <family val="2"/>
        <charset val="129"/>
      </rPr>
      <t xml:space="preserve">(1) </t>
    </r>
    <r>
      <rPr>
        <sz val="10"/>
        <rFont val="Noto Sans CJK SC"/>
        <family val="2"/>
      </rPr>
      <t xml:space="preserve">반복 샷 발생률을 연속형으로 취급하거나 </t>
    </r>
    <r>
      <rPr>
        <sz val="10"/>
        <rFont val="맑은 고딕"/>
        <family val="2"/>
        <charset val="129"/>
      </rPr>
      <t xml:space="preserve">(2) </t>
    </r>
    <r>
      <rPr>
        <sz val="10"/>
        <rFont val="Noto Sans CJK SC"/>
        <family val="2"/>
      </rPr>
      <t>로지스틱 회귀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주효과 중심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로 분석한다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발생이 특정 조건에 몰리면 주효과 그림만으로도 경향 파악이 가능하다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</si>
  <si>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7) </t>
    </r>
    <r>
      <rPr>
        <sz val="10"/>
        <rFont val="Noto Sans CJK SC"/>
        <family val="2"/>
      </rPr>
      <t xml:space="preserve">이동측을 측정한 </t>
    </r>
    <r>
      <rPr>
        <sz val="10"/>
        <rFont val="맑은 고딕"/>
        <family val="2"/>
        <charset val="129"/>
      </rPr>
      <t>4</t>
    </r>
    <r>
      <rPr>
        <sz val="10"/>
        <rFont val="Noto Sans CJK SC"/>
        <family val="2"/>
      </rPr>
      <t>개 런에서는 두 파팅면이 동일 조건이므로 파팅면 간 차이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>함침율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강도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무게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를 조건별로 직접 비교할 수 있다</t>
    </r>
    <r>
      <rPr>
        <sz val="10"/>
        <rFont val="맑은 고딕"/>
        <family val="2"/>
        <charset val="129"/>
      </rPr>
      <t xml:space="preserve">. </t>
    </r>
    <r>
      <rPr>
        <sz val="10"/>
        <rFont val="Noto Sans CJK SC"/>
        <family val="2"/>
      </rPr>
      <t>분석용 요약 시트에 고정측−이동측 차이 열과 금형온도 짝 비교 표를 두었다</t>
    </r>
    <r>
      <rPr>
        <sz val="10"/>
        <rFont val="맑은 고딕"/>
        <family val="2"/>
        <charset val="129"/>
      </rPr>
      <t>.</t>
    </r>
  </si>
  <si>
    <r>
      <rPr>
        <sz val="10"/>
        <rFont val="맑은 고딕"/>
        <family val="2"/>
        <charset val="129"/>
      </rPr>
      <t xml:space="preserve">8) </t>
    </r>
    <r>
      <rPr>
        <sz val="10"/>
        <rFont val="Noto Sans CJK SC"/>
        <family val="2"/>
      </rPr>
      <t xml:space="preserve">데이터 기록표는 조건당 </t>
    </r>
    <r>
      <rPr>
        <sz val="10"/>
        <rFont val="맑은 고딕"/>
        <family val="2"/>
        <charset val="129"/>
      </rPr>
      <t>3</t>
    </r>
    <r>
      <rPr>
        <sz val="10"/>
        <rFont val="Noto Sans CJK SC"/>
        <family val="2"/>
      </rPr>
      <t>샷 기준으로 행을 미리 만들어 두었다</t>
    </r>
    <r>
      <rPr>
        <sz val="10"/>
        <rFont val="맑은 고딕"/>
        <family val="2"/>
        <charset val="129"/>
      </rPr>
      <t>(</t>
    </r>
    <r>
      <rPr>
        <sz val="10"/>
        <rFont val="Noto Sans CJK SC"/>
        <family val="2"/>
      </rPr>
      <t xml:space="preserve">고정측 </t>
    </r>
    <r>
      <rPr>
        <sz val="10"/>
        <rFont val="맑은 고딕"/>
        <family val="2"/>
        <charset val="129"/>
      </rPr>
      <t xml:space="preserve">20×3 + </t>
    </r>
    <r>
      <rPr>
        <sz val="10"/>
        <rFont val="Noto Sans CJK SC"/>
        <family val="2"/>
      </rPr>
      <t xml:space="preserve">이동측 </t>
    </r>
    <r>
      <rPr>
        <sz val="10"/>
        <rFont val="맑은 고딕"/>
        <family val="2"/>
        <charset val="129"/>
      </rPr>
      <t>4×3 = 72</t>
    </r>
    <r>
      <rPr>
        <sz val="10"/>
        <rFont val="Noto Sans CJK SC"/>
        <family val="2"/>
      </rPr>
      <t>행</t>
    </r>
    <r>
      <rPr>
        <sz val="10"/>
        <rFont val="맑은 고딕"/>
        <family val="2"/>
        <charset val="129"/>
      </rPr>
      <t xml:space="preserve">). </t>
    </r>
    <r>
      <rPr>
        <sz val="10"/>
        <rFont val="Noto Sans CJK SC"/>
        <family val="2"/>
      </rPr>
      <t>샷 수가 다르면 행을 추가</t>
    </r>
    <r>
      <rPr>
        <sz val="10"/>
        <rFont val="맑은 고딕"/>
        <family val="2"/>
        <charset val="129"/>
      </rPr>
      <t>/</t>
    </r>
    <r>
      <rPr>
        <sz val="10"/>
        <rFont val="Noto Sans CJK SC"/>
        <family val="2"/>
      </rPr>
      <t>삭제하면 되고</t>
    </r>
    <r>
      <rPr>
        <sz val="10"/>
        <rFont val="맑은 고딕"/>
        <family val="2"/>
        <charset val="129"/>
      </rPr>
      <t xml:space="preserve">, </t>
    </r>
    <r>
      <rPr>
        <sz val="10"/>
        <rFont val="Noto Sans CJK SC"/>
        <family val="2"/>
      </rPr>
      <t>분석용 요약은 런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파팅면 기준으로 자동 평균한다</t>
    </r>
    <r>
      <rPr>
        <sz val="10"/>
        <rFont val="맑은 고딕"/>
        <family val="2"/>
        <charset val="129"/>
      </rPr>
      <t>.</t>
    </r>
  </si>
  <si>
    <r>
      <rPr>
        <b/>
        <sz val="14"/>
        <rFont val="Noto Sans CJK SC"/>
        <family val="2"/>
      </rPr>
      <t xml:space="preserve">자동차 복합재 부품 텐덤금형 사출실험 계획표 — 실행순서 기준 </t>
    </r>
    <r>
      <rPr>
        <b/>
        <sz val="14"/>
        <rFont val="맑은 고딕"/>
        <family val="2"/>
        <charset val="129"/>
      </rPr>
      <t>(</t>
    </r>
    <r>
      <rPr>
        <b/>
        <sz val="14"/>
        <rFont val="Noto Sans CJK SC"/>
        <family val="2"/>
      </rPr>
      <t xml:space="preserve">고정측 </t>
    </r>
    <r>
      <rPr>
        <b/>
        <sz val="14"/>
        <rFont val="맑은 고딕"/>
        <family val="2"/>
        <charset val="129"/>
      </rPr>
      <t>20</t>
    </r>
    <r>
      <rPr>
        <b/>
        <sz val="14"/>
        <rFont val="Noto Sans CJK SC"/>
        <family val="2"/>
      </rPr>
      <t xml:space="preserve">런 </t>
    </r>
    <r>
      <rPr>
        <b/>
        <sz val="14"/>
        <rFont val="맑은 고딕"/>
        <family val="2"/>
        <charset val="129"/>
      </rPr>
      <t xml:space="preserve">/ </t>
    </r>
    <r>
      <rPr>
        <b/>
        <sz val="14"/>
        <rFont val="Noto Sans CJK SC"/>
        <family val="2"/>
      </rPr>
      <t xml:space="preserve">이동측 </t>
    </r>
    <r>
      <rPr>
        <b/>
        <sz val="14"/>
        <rFont val="맑은 고딕"/>
        <family val="2"/>
        <charset val="129"/>
      </rPr>
      <t>4</t>
    </r>
    <r>
      <rPr>
        <b/>
        <sz val="14"/>
        <rFont val="Noto Sans CJK SC"/>
        <family val="2"/>
      </rPr>
      <t>런 내포</t>
    </r>
    <r>
      <rPr>
        <b/>
        <sz val="14"/>
        <rFont val="맑은 고딕"/>
        <family val="2"/>
        <charset val="129"/>
      </rPr>
      <t>)</t>
    </r>
  </si>
  <si>
    <r>
      <rPr>
        <i/>
        <sz val="10"/>
        <color rgb="FF595959"/>
        <rFont val="Noto Sans CJK SC"/>
        <family val="2"/>
      </rPr>
      <t>매 런 두 파팅면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 xml:space="preserve">고정측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>캐비티</t>
    </r>
    <r>
      <rPr>
        <i/>
        <sz val="10"/>
        <color rgb="FF595959"/>
        <rFont val="맑은 고딕"/>
        <family val="2"/>
        <charset val="129"/>
      </rPr>
      <t xml:space="preserve">, </t>
    </r>
    <r>
      <rPr>
        <i/>
        <sz val="10"/>
        <color rgb="FF595959"/>
        <rFont val="Noto Sans CJK SC"/>
        <family val="2"/>
      </rPr>
      <t xml:space="preserve">이동측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>캐비티</t>
    </r>
    <r>
      <rPr>
        <i/>
        <sz val="10"/>
        <color rgb="FF595959"/>
        <rFont val="맑은 고딕"/>
        <family val="2"/>
        <charset val="129"/>
      </rPr>
      <t xml:space="preserve">) </t>
    </r>
    <r>
      <rPr>
        <i/>
        <sz val="10"/>
        <color rgb="FF595959"/>
        <rFont val="Noto Sans CJK SC"/>
        <family val="2"/>
      </rPr>
      <t>동일 조건으로 성형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노란색 행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 xml:space="preserve">이동측 측정 </t>
    </r>
    <r>
      <rPr>
        <i/>
        <sz val="10"/>
        <color rgb="FF595959"/>
        <rFont val="맑은 고딕"/>
        <family val="2"/>
        <charset val="129"/>
      </rPr>
      <t>= O, M1–M4)</t>
    </r>
    <r>
      <rPr>
        <i/>
        <sz val="10"/>
        <color rgb="FF595959"/>
        <rFont val="Noto Sans CJK SC"/>
        <family val="2"/>
      </rPr>
      <t>은 이동측 시편도 측정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 xml:space="preserve">보라색 행은 금형온도 </t>
    </r>
    <r>
      <rPr>
        <i/>
        <sz val="10"/>
        <color rgb="FF595959"/>
        <rFont val="맑은 고딕"/>
        <family val="2"/>
        <charset val="129"/>
      </rPr>
      <t xml:space="preserve">40℃ </t>
    </r>
    <r>
      <rPr>
        <i/>
        <sz val="10"/>
        <color rgb="FF595959"/>
        <rFont val="Noto Sans CJK SC"/>
        <family val="2"/>
      </rPr>
      <t>추가 런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연노랑 셀은 실험 중 기록</t>
    </r>
    <r>
      <rPr>
        <i/>
        <sz val="10"/>
        <color rgb="FF595959"/>
        <rFont val="맑은 고딕"/>
        <family val="2"/>
        <charset val="129"/>
      </rPr>
      <t>.</t>
    </r>
  </si>
  <si>
    <r>
      <rPr>
        <b/>
        <sz val="10"/>
        <color rgb="FF1F4E78"/>
        <rFont val="Noto Sans CJK SC"/>
        <family val="2"/>
      </rPr>
      <t>고정 조건</t>
    </r>
    <r>
      <rPr>
        <b/>
        <sz val="10"/>
        <color rgb="FF1F4E78"/>
        <rFont val="맑은 고딕"/>
        <family val="2"/>
        <charset val="129"/>
      </rPr>
      <t>(</t>
    </r>
    <r>
      <rPr>
        <b/>
        <sz val="10"/>
        <color rgb="FF1F4E78"/>
        <rFont val="Noto Sans CJK SC"/>
        <family val="2"/>
      </rPr>
      <t>전 런 동일</t>
    </r>
    <r>
      <rPr>
        <b/>
        <sz val="10"/>
        <color rgb="FF1F4E78"/>
        <rFont val="맑은 고딕"/>
        <family val="2"/>
        <charset val="129"/>
      </rPr>
      <t xml:space="preserve">): </t>
    </r>
    <r>
      <rPr>
        <b/>
        <sz val="10"/>
        <color rgb="FF1F4E78"/>
        <rFont val="Noto Sans CJK SC"/>
        <family val="2"/>
      </rPr>
      <t xml:space="preserve">보압 최고사출압의 </t>
    </r>
    <r>
      <rPr>
        <b/>
        <sz val="10"/>
        <color rgb="FF1F4E78"/>
        <rFont val="맑은 고딕"/>
        <family val="2"/>
        <charset val="129"/>
      </rPr>
      <t xml:space="preserve">100% · </t>
    </r>
    <r>
      <rPr>
        <b/>
        <sz val="10"/>
        <color rgb="FF1F4E78"/>
        <rFont val="Noto Sans CJK SC"/>
        <family val="2"/>
      </rPr>
      <t xml:space="preserve">보압시간 </t>
    </r>
    <r>
      <rPr>
        <b/>
        <sz val="10"/>
        <color rgb="FF1F4E78"/>
        <rFont val="맑은 고딕"/>
        <family val="2"/>
        <charset val="129"/>
      </rPr>
      <t xml:space="preserve">6 s · </t>
    </r>
    <r>
      <rPr>
        <b/>
        <sz val="10"/>
        <color rgb="FF1F4E78"/>
        <rFont val="Noto Sans CJK SC"/>
        <family val="2"/>
      </rPr>
      <t xml:space="preserve">계량거리 </t>
    </r>
    <r>
      <rPr>
        <b/>
        <sz val="10"/>
        <color rgb="FF1F4E78"/>
        <rFont val="맑은 고딕"/>
        <family val="2"/>
        <charset val="129"/>
      </rPr>
      <t xml:space="preserve">86 mm · V/P </t>
    </r>
    <r>
      <rPr>
        <b/>
        <sz val="10"/>
        <color rgb="FF1F4E78"/>
        <rFont val="Noto Sans CJK SC"/>
        <family val="2"/>
      </rPr>
      <t xml:space="preserve">전환 </t>
    </r>
    <r>
      <rPr>
        <b/>
        <sz val="10"/>
        <color rgb="FF1F4E78"/>
        <rFont val="맑은 고딕"/>
        <family val="2"/>
        <charset val="129"/>
      </rPr>
      <t xml:space="preserve">36 mm · </t>
    </r>
    <r>
      <rPr>
        <b/>
        <sz val="10"/>
        <color rgb="FF1F4E78"/>
        <rFont val="Noto Sans CJK SC"/>
        <family val="2"/>
      </rPr>
      <t xml:space="preserve">냉각시간 </t>
    </r>
    <r>
      <rPr>
        <b/>
        <sz val="10"/>
        <color rgb="FF1F4E78"/>
        <rFont val="맑은 고딕"/>
        <family val="2"/>
        <charset val="129"/>
      </rPr>
      <t xml:space="preserve">60 s · </t>
    </r>
    <r>
      <rPr>
        <b/>
        <sz val="10"/>
        <color rgb="FF1F4E78"/>
        <rFont val="Noto Sans CJK SC"/>
        <family val="2"/>
      </rPr>
      <t xml:space="preserve">배럴온도 </t>
    </r>
    <r>
      <rPr>
        <b/>
        <sz val="10"/>
        <color rgb="FF1F4E78"/>
        <rFont val="맑은 고딕"/>
        <family val="2"/>
        <charset val="129"/>
      </rPr>
      <t xml:space="preserve">210 ℃ · </t>
    </r>
    <r>
      <rPr>
        <b/>
        <sz val="10"/>
        <color rgb="FF1F4E78"/>
        <rFont val="Noto Sans CJK SC"/>
        <family val="2"/>
      </rPr>
      <t xml:space="preserve">노즐온도 </t>
    </r>
    <r>
      <rPr>
        <b/>
        <sz val="10"/>
        <color rgb="FF1F4E78"/>
        <rFont val="맑은 고딕"/>
        <family val="2"/>
        <charset val="129"/>
      </rPr>
      <t>215 ℃</t>
    </r>
  </si>
  <si>
    <t>실행
순서</t>
  </si>
  <si>
    <t>표준
순서</t>
  </si>
  <si>
    <r>
      <rPr>
        <b/>
        <sz val="10"/>
        <color rgb="FFFFFFFF"/>
        <rFont val="Noto Sans CJK SC"/>
        <family val="2"/>
      </rPr>
      <t xml:space="preserve">블록
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핫러너</t>
    </r>
    <r>
      <rPr>
        <b/>
        <sz val="10"/>
        <color rgb="FFFFFFFF"/>
        <rFont val="맑은 고딕"/>
        <family val="2"/>
        <charset val="129"/>
      </rPr>
      <t>)</t>
    </r>
  </si>
  <si>
    <t>구분</t>
  </si>
  <si>
    <r>
      <rPr>
        <b/>
        <sz val="10"/>
        <color rgb="FFFFFFFF"/>
        <rFont val="Noto Sans CJK SC"/>
        <family val="2"/>
      </rPr>
      <t xml:space="preserve">핫러너 온도
</t>
    </r>
    <r>
      <rPr>
        <b/>
        <sz val="10"/>
        <color rgb="FFFFFFFF"/>
        <rFont val="맑은 고딕"/>
        <family val="2"/>
        <charset val="129"/>
      </rPr>
      <t>(℃)</t>
    </r>
  </si>
  <si>
    <r>
      <rPr>
        <b/>
        <sz val="10"/>
        <color rgb="FFFFFFFF"/>
        <rFont val="Noto Sans CJK SC"/>
        <family val="2"/>
      </rPr>
      <t xml:space="preserve">금형온도
</t>
    </r>
    <r>
      <rPr>
        <b/>
        <sz val="10"/>
        <color rgb="FFFFFFFF"/>
        <rFont val="맑은 고딕"/>
        <family val="2"/>
        <charset val="129"/>
      </rPr>
      <t>(℃)</t>
    </r>
  </si>
  <si>
    <r>
      <rPr>
        <b/>
        <sz val="10"/>
        <color rgb="FFFFFFFF"/>
        <rFont val="Noto Sans CJK SC"/>
        <family val="2"/>
      </rPr>
      <t xml:space="preserve">사출속도
</t>
    </r>
    <r>
      <rPr>
        <b/>
        <sz val="10"/>
        <color rgb="FFFFFFFF"/>
        <rFont val="맑은 고딕"/>
        <family val="2"/>
        <charset val="129"/>
      </rPr>
      <t>(mm/s)</t>
    </r>
  </si>
  <si>
    <r>
      <rPr>
        <b/>
        <sz val="10"/>
        <color rgb="FFFFFFFF"/>
        <rFont val="맑은 고딕"/>
        <family val="2"/>
        <charset val="129"/>
      </rPr>
      <t xml:space="preserve">A
</t>
    </r>
    <r>
      <rPr>
        <b/>
        <sz val="10"/>
        <color rgb="FFFFFFFF"/>
        <rFont val="Noto Sans CJK SC"/>
        <family val="2"/>
      </rPr>
      <t>코드</t>
    </r>
  </si>
  <si>
    <r>
      <rPr>
        <b/>
        <sz val="10"/>
        <color rgb="FFFFFFFF"/>
        <rFont val="맑은 고딕"/>
        <family val="2"/>
        <charset val="129"/>
      </rPr>
      <t xml:space="preserve">B
</t>
    </r>
    <r>
      <rPr>
        <b/>
        <sz val="10"/>
        <color rgb="FFFFFFFF"/>
        <rFont val="Noto Sans CJK SC"/>
        <family val="2"/>
      </rPr>
      <t>코드</t>
    </r>
  </si>
  <si>
    <r>
      <rPr>
        <b/>
        <sz val="10"/>
        <color rgb="FFFFFFFF"/>
        <rFont val="맑은 고딕"/>
        <family val="2"/>
        <charset val="129"/>
      </rPr>
      <t xml:space="preserve">C
</t>
    </r>
    <r>
      <rPr>
        <b/>
        <sz val="10"/>
        <color rgb="FFFFFFFF"/>
        <rFont val="Noto Sans CJK SC"/>
        <family val="2"/>
      </rPr>
      <t>코드</t>
    </r>
  </si>
  <si>
    <t>고정측
캐비티 측정</t>
  </si>
  <si>
    <t>이동측
캐비티 측정</t>
  </si>
  <si>
    <t>이동측
런번호</t>
  </si>
  <si>
    <t>실시 일시</t>
  </si>
  <si>
    <r>
      <rPr>
        <b/>
        <sz val="10"/>
        <color rgb="FFFFFFFF"/>
        <rFont val="Noto Sans CJK SC"/>
        <family val="2"/>
      </rPr>
      <t xml:space="preserve">샷 카운터
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시작–끝</t>
    </r>
    <r>
      <rPr>
        <b/>
        <sz val="10"/>
        <color rgb="FFFFFFFF"/>
        <rFont val="맑은 고딕"/>
        <family val="2"/>
        <charset val="129"/>
      </rPr>
      <t>)</t>
    </r>
  </si>
  <si>
    <t>주 설계</t>
  </si>
  <si>
    <t>O</t>
  </si>
  <si>
    <t>M1</t>
  </si>
  <si>
    <r>
      <rPr>
        <sz val="9"/>
        <color rgb="FF595959"/>
        <rFont val="Noto Sans CJK SC"/>
        <family val="2"/>
      </rPr>
      <t xml:space="preserve">이동측 </t>
    </r>
    <r>
      <rPr>
        <sz val="9"/>
        <color rgb="FF595959"/>
        <rFont val="맑은 고딕"/>
        <family val="2"/>
        <charset val="129"/>
      </rPr>
      <t xml:space="preserve">2² </t>
    </r>
    <r>
      <rPr>
        <sz val="9"/>
        <color rgb="FF595959"/>
        <rFont val="Noto Sans CJK SC"/>
        <family val="2"/>
      </rPr>
      <t xml:space="preserve">꼭짓점 </t>
    </r>
    <r>
      <rPr>
        <sz val="9"/>
        <color rgb="FF595959"/>
        <rFont val="맑은 고딕"/>
        <family val="2"/>
        <charset val="129"/>
      </rPr>
      <t>M1</t>
    </r>
  </si>
  <si>
    <t>–</t>
  </si>
  <si>
    <t>M3</t>
  </si>
  <si>
    <r>
      <rPr>
        <sz val="9"/>
        <color rgb="FF595959"/>
        <rFont val="Noto Sans CJK SC"/>
        <family val="2"/>
      </rPr>
      <t xml:space="preserve">이동측 </t>
    </r>
    <r>
      <rPr>
        <sz val="9"/>
        <color rgb="FF595959"/>
        <rFont val="맑은 고딕"/>
        <family val="2"/>
        <charset val="129"/>
      </rPr>
      <t xml:space="preserve">2² </t>
    </r>
    <r>
      <rPr>
        <sz val="9"/>
        <color rgb="FF595959"/>
        <rFont val="Noto Sans CJK SC"/>
        <family val="2"/>
      </rPr>
      <t xml:space="preserve">꼭짓점 </t>
    </r>
    <r>
      <rPr>
        <sz val="9"/>
        <color rgb="FF595959"/>
        <rFont val="맑은 고딕"/>
        <family val="2"/>
        <charset val="129"/>
      </rPr>
      <t>M3</t>
    </r>
  </si>
  <si>
    <t>M2</t>
  </si>
  <si>
    <r>
      <rPr>
        <sz val="9"/>
        <color rgb="FF595959"/>
        <rFont val="Noto Sans CJK SC"/>
        <family val="2"/>
      </rPr>
      <t xml:space="preserve">이동측 </t>
    </r>
    <r>
      <rPr>
        <sz val="9"/>
        <color rgb="FF595959"/>
        <rFont val="맑은 고딕"/>
        <family val="2"/>
        <charset val="129"/>
      </rPr>
      <t xml:space="preserve">2² </t>
    </r>
    <r>
      <rPr>
        <sz val="9"/>
        <color rgb="FF595959"/>
        <rFont val="Noto Sans CJK SC"/>
        <family val="2"/>
      </rPr>
      <t xml:space="preserve">꼭짓점 </t>
    </r>
    <r>
      <rPr>
        <sz val="9"/>
        <color rgb="FF595959"/>
        <rFont val="맑은 고딕"/>
        <family val="2"/>
        <charset val="129"/>
      </rPr>
      <t>M2</t>
    </r>
  </si>
  <si>
    <t>M4</t>
  </si>
  <si>
    <r>
      <rPr>
        <sz val="9"/>
        <color rgb="FF595959"/>
        <rFont val="Noto Sans CJK SC"/>
        <family val="2"/>
      </rPr>
      <t xml:space="preserve">이동측 </t>
    </r>
    <r>
      <rPr>
        <sz val="9"/>
        <color rgb="FF595959"/>
        <rFont val="맑은 고딕"/>
        <family val="2"/>
        <charset val="129"/>
      </rPr>
      <t xml:space="preserve">2² </t>
    </r>
    <r>
      <rPr>
        <sz val="9"/>
        <color rgb="FF595959"/>
        <rFont val="Noto Sans CJK SC"/>
        <family val="2"/>
      </rPr>
      <t xml:space="preserve">꼭짓점 </t>
    </r>
    <r>
      <rPr>
        <sz val="9"/>
        <color rgb="FF595959"/>
        <rFont val="맑은 고딕"/>
        <family val="2"/>
        <charset val="129"/>
      </rPr>
      <t>M4</t>
    </r>
  </si>
  <si>
    <r>
      <rPr>
        <sz val="10"/>
        <rFont val="Noto Sans CJK SC"/>
        <family val="2"/>
      </rPr>
      <t xml:space="preserve">추가 </t>
    </r>
    <r>
      <rPr>
        <sz val="10"/>
        <rFont val="맑은 고딕"/>
        <family val="2"/>
        <charset val="129"/>
      </rPr>
      <t>(40℃)</t>
    </r>
  </si>
  <si>
    <r>
      <rPr>
        <sz val="9"/>
        <color rgb="FF595959"/>
        <rFont val="맑은 고딕"/>
        <family val="2"/>
        <charset val="129"/>
      </rPr>
      <t xml:space="preserve">40℃ </t>
    </r>
    <r>
      <rPr>
        <sz val="9"/>
        <color rgb="FF595959"/>
        <rFont val="Noto Sans CJK SC"/>
        <family val="2"/>
      </rPr>
      <t xml:space="preserve">추가 런 </t>
    </r>
    <r>
      <rPr>
        <sz val="9"/>
        <color rgb="FF595959"/>
        <rFont val="맑은 고딕"/>
        <family val="2"/>
        <charset val="129"/>
      </rPr>
      <t xml:space="preserve">· </t>
    </r>
    <r>
      <rPr>
        <sz val="9"/>
        <color rgb="FF595959"/>
        <rFont val="Noto Sans CJK SC"/>
        <family val="2"/>
      </rPr>
      <t xml:space="preserve">짝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 xml:space="preserve">14 · </t>
    </r>
    <r>
      <rPr>
        <sz val="9"/>
        <color rgb="FF595959"/>
        <rFont val="Noto Sans CJK SC"/>
        <family val="2"/>
      </rPr>
      <t>선택</t>
    </r>
    <r>
      <rPr>
        <sz val="9"/>
        <color rgb="FF595959"/>
        <rFont val="맑은 고딕"/>
        <family val="2"/>
        <charset val="129"/>
      </rPr>
      <t xml:space="preserve">: </t>
    </r>
    <r>
      <rPr>
        <sz val="9"/>
        <color rgb="FF595959"/>
        <rFont val="Noto Sans CJK SC"/>
        <family val="2"/>
      </rPr>
      <t>이동측 측정</t>
    </r>
  </si>
  <si>
    <r>
      <rPr>
        <sz val="9"/>
        <color rgb="FF595959"/>
        <rFont val="맑은 고딕"/>
        <family val="2"/>
        <charset val="129"/>
      </rPr>
      <t xml:space="preserve">40℃ </t>
    </r>
    <r>
      <rPr>
        <sz val="9"/>
        <color rgb="FF595959"/>
        <rFont val="Noto Sans CJK SC"/>
        <family val="2"/>
      </rPr>
      <t xml:space="preserve">추가 런 </t>
    </r>
    <r>
      <rPr>
        <sz val="9"/>
        <color rgb="FF595959"/>
        <rFont val="맑은 고딕"/>
        <family val="2"/>
        <charset val="129"/>
      </rPr>
      <t xml:space="preserve">· </t>
    </r>
    <r>
      <rPr>
        <sz val="9"/>
        <color rgb="FF595959"/>
        <rFont val="Noto Sans CJK SC"/>
        <family val="2"/>
      </rPr>
      <t xml:space="preserve">짝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>11</t>
    </r>
  </si>
  <si>
    <r>
      <rPr>
        <sz val="9"/>
        <color rgb="FF595959"/>
        <rFont val="맑은 고딕"/>
        <family val="2"/>
        <charset val="129"/>
      </rPr>
      <t xml:space="preserve">40℃ </t>
    </r>
    <r>
      <rPr>
        <sz val="9"/>
        <color rgb="FF595959"/>
        <rFont val="Noto Sans CJK SC"/>
        <family val="2"/>
      </rPr>
      <t xml:space="preserve">추가 런 </t>
    </r>
    <r>
      <rPr>
        <sz val="9"/>
        <color rgb="FF595959"/>
        <rFont val="맑은 고딕"/>
        <family val="2"/>
        <charset val="129"/>
      </rPr>
      <t xml:space="preserve">· </t>
    </r>
    <r>
      <rPr>
        <sz val="9"/>
        <color rgb="FF595959"/>
        <rFont val="Noto Sans CJK SC"/>
        <family val="2"/>
      </rPr>
      <t xml:space="preserve">짝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>7</t>
    </r>
  </si>
  <si>
    <r>
      <rPr>
        <sz val="9"/>
        <color rgb="FF595959"/>
        <rFont val="맑은 고딕"/>
        <family val="2"/>
        <charset val="129"/>
      </rPr>
      <t xml:space="preserve">40℃ </t>
    </r>
    <r>
      <rPr>
        <sz val="9"/>
        <color rgb="FF595959"/>
        <rFont val="Noto Sans CJK SC"/>
        <family val="2"/>
      </rPr>
      <t xml:space="preserve">추가 런 </t>
    </r>
    <r>
      <rPr>
        <sz val="9"/>
        <color rgb="FF595959"/>
        <rFont val="맑은 고딕"/>
        <family val="2"/>
        <charset val="129"/>
      </rPr>
      <t xml:space="preserve">· </t>
    </r>
    <r>
      <rPr>
        <sz val="9"/>
        <color rgb="FF595959"/>
        <rFont val="Noto Sans CJK SC"/>
        <family val="2"/>
      </rPr>
      <t xml:space="preserve">짝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 xml:space="preserve">4 · </t>
    </r>
    <r>
      <rPr>
        <sz val="9"/>
        <color rgb="FF595959"/>
        <rFont val="Noto Sans CJK SC"/>
        <family val="2"/>
      </rPr>
      <t>선택</t>
    </r>
    <r>
      <rPr>
        <sz val="9"/>
        <color rgb="FF595959"/>
        <rFont val="맑은 고딕"/>
        <family val="2"/>
        <charset val="129"/>
      </rPr>
      <t xml:space="preserve">: </t>
    </r>
    <r>
      <rPr>
        <sz val="9"/>
        <color rgb="FF595959"/>
        <rFont val="Noto Sans CJK SC"/>
        <family val="2"/>
      </rPr>
      <t>이동측 측정</t>
    </r>
  </si>
  <si>
    <t>고정측 측정 런 수</t>
  </si>
  <si>
    <t>이동측 측정 런 수</t>
  </si>
  <si>
    <r>
      <rPr>
        <b/>
        <sz val="10"/>
        <rFont val="Noto Sans CJK SC"/>
        <family val="2"/>
      </rPr>
      <t xml:space="preserve">금형온도 </t>
    </r>
    <r>
      <rPr>
        <b/>
        <sz val="10"/>
        <rFont val="맑은 고딕"/>
        <family val="2"/>
        <charset val="129"/>
      </rPr>
      <t xml:space="preserve">40℃ </t>
    </r>
    <r>
      <rPr>
        <b/>
        <sz val="10"/>
        <rFont val="Noto Sans CJK SC"/>
        <family val="2"/>
      </rPr>
      <t>런 수</t>
    </r>
  </si>
  <si>
    <r>
      <rPr>
        <b/>
        <sz val="10"/>
        <rFont val="Noto Sans CJK SC"/>
        <family val="2"/>
      </rPr>
      <t xml:space="preserve">총 측정 시편 수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 xml:space="preserve">샷 </t>
    </r>
    <r>
      <rPr>
        <b/>
        <sz val="10"/>
        <rFont val="맑은 고딕"/>
        <family val="2"/>
        <charset val="129"/>
      </rPr>
      <t>1</t>
    </r>
    <r>
      <rPr>
        <b/>
        <sz val="10"/>
        <rFont val="Noto Sans CJK SC"/>
        <family val="2"/>
      </rPr>
      <t>회 기준</t>
    </r>
    <r>
      <rPr>
        <b/>
        <sz val="10"/>
        <rFont val="맑은 고딕"/>
        <family val="2"/>
        <charset val="129"/>
      </rPr>
      <t>)</t>
    </r>
  </si>
  <si>
    <r>
      <rPr>
        <sz val="9"/>
        <color rgb="FF595959"/>
        <rFont val="Noto Sans CJK SC"/>
        <family val="2"/>
      </rPr>
      <t>범례</t>
    </r>
    <r>
      <rPr>
        <sz val="9"/>
        <color rgb="FF595959"/>
        <rFont val="맑은 고딕"/>
        <family val="2"/>
        <charset val="129"/>
      </rPr>
      <t xml:space="preserve">: </t>
    </r>
    <r>
      <rPr>
        <sz val="9"/>
        <color rgb="FF595959"/>
        <rFont val="Noto Sans CJK SC"/>
        <family val="2"/>
      </rPr>
      <t>파란</t>
    </r>
    <r>
      <rPr>
        <sz val="9"/>
        <color rgb="FF595959"/>
        <rFont val="맑은 고딕"/>
        <family val="2"/>
        <charset val="129"/>
      </rPr>
      <t>/</t>
    </r>
    <r>
      <rPr>
        <sz val="9"/>
        <color rgb="FF595959"/>
        <rFont val="Noto Sans CJK SC"/>
        <family val="2"/>
      </rPr>
      <t>녹색</t>
    </r>
    <r>
      <rPr>
        <sz val="9"/>
        <color rgb="FF595959"/>
        <rFont val="맑은 고딕"/>
        <family val="2"/>
        <charset val="129"/>
      </rPr>
      <t>/</t>
    </r>
    <r>
      <rPr>
        <sz val="9"/>
        <color rgb="FF595959"/>
        <rFont val="Noto Sans CJK SC"/>
        <family val="2"/>
      </rPr>
      <t>주황</t>
    </r>
    <r>
      <rPr>
        <sz val="9"/>
        <color rgb="FF595959"/>
        <rFont val="맑은 고딕"/>
        <family val="2"/>
        <charset val="129"/>
      </rPr>
      <t>/</t>
    </r>
    <r>
      <rPr>
        <sz val="9"/>
        <color rgb="FF595959"/>
        <rFont val="Noto Sans CJK SC"/>
        <family val="2"/>
      </rPr>
      <t xml:space="preserve">회색 배경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핫러너 온도 블록 </t>
    </r>
    <r>
      <rPr>
        <sz val="9"/>
        <color rgb="FF595959"/>
        <rFont val="맑은 고딕"/>
        <family val="2"/>
        <charset val="129"/>
      </rPr>
      <t xml:space="preserve">1/2/3/4(60℃ </t>
    </r>
    <r>
      <rPr>
        <sz val="9"/>
        <color rgb="FF595959"/>
        <rFont val="Noto Sans CJK SC"/>
        <family val="2"/>
      </rPr>
      <t>주 설계</t>
    </r>
    <r>
      <rPr>
        <sz val="9"/>
        <color rgb="FF595959"/>
        <rFont val="맑은 고딕"/>
        <family val="2"/>
        <charset val="129"/>
      </rPr>
      <t xml:space="preserve">, 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 xml:space="preserve">1–16), </t>
    </r>
    <r>
      <rPr>
        <sz val="9"/>
        <color rgb="FF595959"/>
        <rFont val="Noto Sans CJK SC"/>
        <family val="2"/>
      </rPr>
      <t xml:space="preserve">보라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금형온도 </t>
    </r>
    <r>
      <rPr>
        <sz val="9"/>
        <color rgb="FF595959"/>
        <rFont val="맑은 고딕"/>
        <family val="2"/>
        <charset val="129"/>
      </rPr>
      <t xml:space="preserve">40℃ </t>
    </r>
    <r>
      <rPr>
        <sz val="9"/>
        <color rgb="FF595959"/>
        <rFont val="Noto Sans CJK SC"/>
        <family val="2"/>
      </rPr>
      <t>추가 런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 xml:space="preserve">실행순서 </t>
    </r>
    <r>
      <rPr>
        <sz val="9"/>
        <color rgb="FF595959"/>
        <rFont val="맑은 고딕"/>
        <family val="2"/>
        <charset val="129"/>
      </rPr>
      <t xml:space="preserve">17–20, </t>
    </r>
    <r>
      <rPr>
        <sz val="9"/>
        <color rgb="FF595959"/>
        <rFont val="Noto Sans CJK SC"/>
        <family val="2"/>
      </rPr>
      <t>온도 내림차순</t>
    </r>
    <r>
      <rPr>
        <sz val="9"/>
        <color rgb="FF595959"/>
        <rFont val="맑은 고딕"/>
        <family val="2"/>
        <charset val="129"/>
      </rPr>
      <t xml:space="preserve">), </t>
    </r>
    <r>
      <rPr>
        <sz val="9"/>
        <color rgb="FF595959"/>
        <rFont val="Noto Sans CJK SC"/>
        <family val="2"/>
      </rPr>
      <t xml:space="preserve">노랑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>이동측 측정 런</t>
    </r>
    <r>
      <rPr>
        <sz val="9"/>
        <color rgb="FF595959"/>
        <rFont val="맑은 고딕"/>
        <family val="2"/>
        <charset val="129"/>
      </rPr>
      <t xml:space="preserve">(2² </t>
    </r>
    <r>
      <rPr>
        <sz val="9"/>
        <color rgb="FF595959"/>
        <rFont val="Noto Sans CJK SC"/>
        <family val="2"/>
      </rPr>
      <t>꼭짓점</t>
    </r>
    <r>
      <rPr>
        <sz val="9"/>
        <color rgb="FF595959"/>
        <rFont val="맑은 고딕"/>
        <family val="2"/>
        <charset val="129"/>
      </rPr>
      <t xml:space="preserve">), </t>
    </r>
    <r>
      <rPr>
        <sz val="9"/>
        <color rgb="FF595959"/>
        <rFont val="Noto Sans CJK SC"/>
        <family val="2"/>
      </rPr>
      <t xml:space="preserve">연노랑 셀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>실험 중 기록 입력</t>
    </r>
    <r>
      <rPr>
        <sz val="9"/>
        <color rgb="FF595959"/>
        <rFont val="맑은 고딕"/>
        <family val="2"/>
        <charset val="129"/>
      </rPr>
      <t xml:space="preserve">. </t>
    </r>
    <r>
      <rPr>
        <sz val="9"/>
        <color rgb="FF595959"/>
        <rFont val="Noto Sans CJK SC"/>
        <family val="2"/>
      </rPr>
      <t xml:space="preserve">실행순서 난수 </t>
    </r>
    <r>
      <rPr>
        <sz val="9"/>
        <color rgb="FF595959"/>
        <rFont val="맑은 고딕"/>
        <family val="2"/>
        <charset val="129"/>
      </rPr>
      <t>seed 20260914.</t>
    </r>
  </si>
  <si>
    <r>
      <rPr>
        <b/>
        <sz val="14"/>
        <rFont val="Noto Sans CJK SC"/>
        <family val="2"/>
      </rPr>
      <t xml:space="preserve">이동측 캐비티 </t>
    </r>
    <r>
      <rPr>
        <b/>
        <sz val="14"/>
        <rFont val="맑은 고딕"/>
        <family val="2"/>
        <charset val="129"/>
      </rPr>
      <t xml:space="preserve">2² </t>
    </r>
    <r>
      <rPr>
        <b/>
        <sz val="14"/>
        <rFont val="Noto Sans CJK SC"/>
        <family val="2"/>
      </rPr>
      <t>완전요인 설계 — 고정측 주 설계</t>
    </r>
    <r>
      <rPr>
        <b/>
        <sz val="14"/>
        <rFont val="맑은 고딕"/>
        <family val="2"/>
        <charset val="129"/>
      </rPr>
      <t>(60℃)</t>
    </r>
    <r>
      <rPr>
        <b/>
        <sz val="14"/>
        <rFont val="Noto Sans CJK SC"/>
        <family val="2"/>
      </rPr>
      <t xml:space="preserve">에 내포된 </t>
    </r>
    <r>
      <rPr>
        <b/>
        <sz val="14"/>
        <rFont val="맑은 고딕"/>
        <family val="2"/>
        <charset val="129"/>
      </rPr>
      <t>4</t>
    </r>
    <r>
      <rPr>
        <b/>
        <sz val="14"/>
        <rFont val="Noto Sans CJK SC"/>
        <family val="2"/>
      </rPr>
      <t>개 꼭짓점 런</t>
    </r>
  </si>
  <si>
    <r>
      <rPr>
        <i/>
        <sz val="10"/>
        <color rgb="FF595959"/>
        <rFont val="Noto Sans CJK SC"/>
        <family val="2"/>
      </rPr>
      <t>인자</t>
    </r>
    <r>
      <rPr>
        <i/>
        <sz val="10"/>
        <color rgb="FF595959"/>
        <rFont val="맑은 고딕"/>
        <family val="2"/>
        <charset val="129"/>
      </rPr>
      <t xml:space="preserve">: </t>
    </r>
    <r>
      <rPr>
        <i/>
        <sz val="10"/>
        <color rgb="FF595959"/>
        <rFont val="Noto Sans CJK SC"/>
        <family val="2"/>
      </rPr>
      <t>핫러너 온도</t>
    </r>
    <r>
      <rPr>
        <i/>
        <sz val="10"/>
        <color rgb="FF595959"/>
        <rFont val="맑은 고딕"/>
        <family val="2"/>
        <charset val="129"/>
      </rPr>
      <t xml:space="preserve">(210/250℃), </t>
    </r>
    <r>
      <rPr>
        <i/>
        <sz val="10"/>
        <color rgb="FF595959"/>
        <rFont val="Noto Sans CJK SC"/>
        <family val="2"/>
      </rPr>
      <t>사출속도</t>
    </r>
    <r>
      <rPr>
        <i/>
        <sz val="10"/>
        <color rgb="FF595959"/>
        <rFont val="맑은 고딕"/>
        <family val="2"/>
        <charset val="129"/>
      </rPr>
      <t xml:space="preserve">(20/80 mm/s). </t>
    </r>
    <r>
      <rPr>
        <i/>
        <sz val="10"/>
        <color rgb="FF595959"/>
        <rFont val="Noto Sans CJK SC"/>
        <family val="2"/>
      </rPr>
      <t xml:space="preserve">금형온도 </t>
    </r>
    <r>
      <rPr>
        <i/>
        <sz val="10"/>
        <color rgb="FF595959"/>
        <rFont val="맑은 고딕"/>
        <family val="2"/>
        <charset val="129"/>
      </rPr>
      <t xml:space="preserve">60℃ </t>
    </r>
    <r>
      <rPr>
        <i/>
        <sz val="10"/>
        <color rgb="FF595959"/>
        <rFont val="Noto Sans CJK SC"/>
        <family val="2"/>
      </rPr>
      <t>고정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 xml:space="preserve">아래 </t>
    </r>
    <r>
      <rPr>
        <i/>
        <sz val="10"/>
        <color rgb="FF595959"/>
        <rFont val="맑은 고딕"/>
        <family val="2"/>
        <charset val="129"/>
      </rPr>
      <t>4</t>
    </r>
    <r>
      <rPr>
        <i/>
        <sz val="10"/>
        <color rgb="FF595959"/>
        <rFont val="Noto Sans CJK SC"/>
        <family val="2"/>
      </rPr>
      <t>런은 모두 실험계획표의 런과 동일 조건이며</t>
    </r>
    <r>
      <rPr>
        <i/>
        <sz val="10"/>
        <color rgb="FF595959"/>
        <rFont val="맑은 고딕"/>
        <family val="2"/>
        <charset val="129"/>
      </rPr>
      <t xml:space="preserve">, </t>
    </r>
    <r>
      <rPr>
        <i/>
        <sz val="10"/>
        <color rgb="FF595959"/>
        <rFont val="Noto Sans CJK SC"/>
        <family val="2"/>
      </rPr>
      <t>해당 런에서 이동측 시편을 추가 측정한다</t>
    </r>
    <r>
      <rPr>
        <i/>
        <sz val="10"/>
        <color rgb="FF595959"/>
        <rFont val="맑은 고딕"/>
        <family val="2"/>
        <charset val="129"/>
      </rPr>
      <t>.</t>
    </r>
  </si>
  <si>
    <t>대응
실행순서</t>
  </si>
  <si>
    <t>대응
표준순서</t>
  </si>
  <si>
    <t>핫러너
블록</t>
  </si>
  <si>
    <r>
      <rPr>
        <sz val="10"/>
        <rFont val="맑은 고딕"/>
        <family val="2"/>
        <charset val="129"/>
      </rPr>
      <t xml:space="preserve">2² </t>
    </r>
    <r>
      <rPr>
        <sz val="10"/>
        <rFont val="Noto Sans CJK SC"/>
        <family val="2"/>
      </rPr>
      <t>표준순서</t>
    </r>
    <r>
      <rPr>
        <sz val="10"/>
        <rFont val="맑은 고딕"/>
        <family val="2"/>
        <charset val="129"/>
      </rPr>
      <t>(Yates) 1</t>
    </r>
  </si>
  <si>
    <r>
      <rPr>
        <sz val="10"/>
        <rFont val="맑은 고딕"/>
        <family val="2"/>
        <charset val="129"/>
      </rPr>
      <t xml:space="preserve">2² </t>
    </r>
    <r>
      <rPr>
        <sz val="10"/>
        <rFont val="Noto Sans CJK SC"/>
        <family val="2"/>
      </rPr>
      <t>표준순서</t>
    </r>
    <r>
      <rPr>
        <sz val="10"/>
        <rFont val="맑은 고딕"/>
        <family val="2"/>
        <charset val="129"/>
      </rPr>
      <t>(Yates) 2</t>
    </r>
  </si>
  <si>
    <r>
      <rPr>
        <sz val="10"/>
        <rFont val="맑은 고딕"/>
        <family val="2"/>
        <charset val="129"/>
      </rPr>
      <t xml:space="preserve">2² </t>
    </r>
    <r>
      <rPr>
        <sz val="10"/>
        <rFont val="Noto Sans CJK SC"/>
        <family val="2"/>
      </rPr>
      <t>표준순서</t>
    </r>
    <r>
      <rPr>
        <sz val="10"/>
        <rFont val="맑은 고딕"/>
        <family val="2"/>
        <charset val="129"/>
      </rPr>
      <t>(Yates) 3</t>
    </r>
  </si>
  <si>
    <r>
      <rPr>
        <sz val="10"/>
        <rFont val="맑은 고딕"/>
        <family val="2"/>
        <charset val="129"/>
      </rPr>
      <t xml:space="preserve">2² </t>
    </r>
    <r>
      <rPr>
        <sz val="10"/>
        <rFont val="Noto Sans CJK SC"/>
        <family val="2"/>
      </rPr>
      <t>표준순서</t>
    </r>
    <r>
      <rPr>
        <sz val="10"/>
        <rFont val="맑은 고딕"/>
        <family val="2"/>
        <charset val="129"/>
      </rPr>
      <t>(Yates) 4</t>
    </r>
  </si>
  <si>
    <r>
      <rPr>
        <b/>
        <sz val="10"/>
        <rFont val="Noto Sans CJK SC"/>
        <family val="2"/>
      </rPr>
      <t xml:space="preserve">균형 확인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 xml:space="preserve">각 수준 </t>
    </r>
    <r>
      <rPr>
        <b/>
        <sz val="10"/>
        <rFont val="맑은 고딕"/>
        <family val="2"/>
        <charset val="129"/>
      </rPr>
      <t>2</t>
    </r>
    <r>
      <rPr>
        <b/>
        <sz val="10"/>
        <rFont val="Noto Sans CJK SC"/>
        <family val="2"/>
      </rPr>
      <t>런</t>
    </r>
    <r>
      <rPr>
        <b/>
        <sz val="10"/>
        <rFont val="맑은 고딕"/>
        <family val="2"/>
        <charset val="129"/>
      </rPr>
      <t>)</t>
    </r>
  </si>
  <si>
    <t>핫러너 온도</t>
  </si>
  <si>
    <t>사출속도</t>
  </si>
  <si>
    <r>
      <rPr>
        <b/>
        <sz val="10"/>
        <rFont val="Noto Sans CJK SC"/>
        <family val="2"/>
      </rPr>
      <t xml:space="preserve">선택 추가 측정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금형온도 영향 확인용</t>
    </r>
    <r>
      <rPr>
        <b/>
        <sz val="10"/>
        <rFont val="맑은 고딕"/>
        <family val="2"/>
        <charset val="129"/>
      </rPr>
      <t xml:space="preserve">, 40℃ </t>
    </r>
    <r>
      <rPr>
        <b/>
        <sz val="10"/>
        <rFont val="Noto Sans CJK SC"/>
        <family val="2"/>
      </rPr>
      <t>런</t>
    </r>
    <r>
      <rPr>
        <b/>
        <sz val="10"/>
        <rFont val="맑은 고딕"/>
        <family val="2"/>
        <charset val="129"/>
      </rPr>
      <t>)</t>
    </r>
  </si>
  <si>
    <r>
      <rPr>
        <sz val="10"/>
        <rFont val="Noto Sans CJK SC"/>
        <family val="2"/>
      </rPr>
      <t xml:space="preserve">옵션 </t>
    </r>
    <r>
      <rPr>
        <sz val="10"/>
        <rFont val="맑은 고딕"/>
        <family val="2"/>
        <charset val="129"/>
      </rPr>
      <t>1</t>
    </r>
  </si>
  <si>
    <r>
      <rPr>
        <sz val="10"/>
        <rFont val="맑은 고딕"/>
        <family val="2"/>
        <charset val="129"/>
      </rPr>
      <t xml:space="preserve">60℃ </t>
    </r>
    <r>
      <rPr>
        <sz val="10"/>
        <rFont val="Noto Sans CJK SC"/>
        <family val="2"/>
      </rPr>
      <t xml:space="preserve">런 </t>
    </r>
    <r>
      <rPr>
        <sz val="10"/>
        <rFont val="맑은 고딕"/>
        <family val="2"/>
        <charset val="129"/>
      </rPr>
      <t>M4(</t>
    </r>
    <r>
      <rPr>
        <sz val="10"/>
        <rFont val="Noto Sans CJK SC"/>
        <family val="2"/>
      </rPr>
      <t>같은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속도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과 비교</t>
    </r>
  </si>
  <si>
    <r>
      <rPr>
        <sz val="10"/>
        <rFont val="Noto Sans CJK SC"/>
        <family val="2"/>
      </rPr>
      <t xml:space="preserve">옵션 </t>
    </r>
    <r>
      <rPr>
        <sz val="10"/>
        <rFont val="맑은 고딕"/>
        <family val="2"/>
        <charset val="129"/>
      </rPr>
      <t>2</t>
    </r>
  </si>
  <si>
    <r>
      <rPr>
        <sz val="10"/>
        <rFont val="맑은 고딕"/>
        <family val="2"/>
        <charset val="129"/>
      </rPr>
      <t xml:space="preserve">60℃ </t>
    </r>
    <r>
      <rPr>
        <sz val="10"/>
        <rFont val="Noto Sans CJK SC"/>
        <family val="2"/>
      </rPr>
      <t xml:space="preserve">런 </t>
    </r>
    <r>
      <rPr>
        <sz val="10"/>
        <rFont val="맑은 고딕"/>
        <family val="2"/>
        <charset val="129"/>
      </rPr>
      <t>M3(</t>
    </r>
    <r>
      <rPr>
        <sz val="10"/>
        <rFont val="Noto Sans CJK SC"/>
        <family val="2"/>
      </rPr>
      <t>같은 온도</t>
    </r>
    <r>
      <rPr>
        <sz val="10"/>
        <rFont val="맑은 고딕"/>
        <family val="2"/>
        <charset val="129"/>
      </rPr>
      <t>·</t>
    </r>
    <r>
      <rPr>
        <sz val="10"/>
        <rFont val="Noto Sans CJK SC"/>
        <family val="2"/>
      </rPr>
      <t>속도</t>
    </r>
    <r>
      <rPr>
        <sz val="10"/>
        <rFont val="맑은 고딕"/>
        <family val="2"/>
        <charset val="129"/>
      </rPr>
      <t>)</t>
    </r>
    <r>
      <rPr>
        <sz val="10"/>
        <rFont val="Noto Sans CJK SC"/>
        <family val="2"/>
      </rPr>
      <t>과 비교</t>
    </r>
  </si>
  <si>
    <r>
      <rPr>
        <sz val="9"/>
        <color rgb="FF595959"/>
        <rFont val="Noto Sans CJK SC"/>
        <family val="2"/>
      </rPr>
      <t>추정 가능 효과</t>
    </r>
    <r>
      <rPr>
        <sz val="9"/>
        <color rgb="FF595959"/>
        <rFont val="맑은 고딕"/>
        <family val="2"/>
        <charset val="129"/>
      </rPr>
      <t>: A(</t>
    </r>
    <r>
      <rPr>
        <sz val="9"/>
        <color rgb="FF595959"/>
        <rFont val="Noto Sans CJK SC"/>
        <family val="2"/>
      </rPr>
      <t>핫러너 온도</t>
    </r>
    <r>
      <rPr>
        <sz val="9"/>
        <color rgb="FF595959"/>
        <rFont val="맑은 고딕"/>
        <family val="2"/>
        <charset val="129"/>
      </rPr>
      <t>), C(</t>
    </r>
    <r>
      <rPr>
        <sz val="9"/>
        <color rgb="FF595959"/>
        <rFont val="Noto Sans CJK SC"/>
        <family val="2"/>
      </rPr>
      <t>사출속도</t>
    </r>
    <r>
      <rPr>
        <sz val="9"/>
        <color rgb="FF595959"/>
        <rFont val="맑은 고딕"/>
        <family val="2"/>
        <charset val="129"/>
      </rPr>
      <t xml:space="preserve">) </t>
    </r>
    <r>
      <rPr>
        <sz val="9"/>
        <color rgb="FF595959"/>
        <rFont val="Noto Sans CJK SC"/>
        <family val="2"/>
      </rPr>
      <t xml:space="preserve">주효과와 </t>
    </r>
    <r>
      <rPr>
        <sz val="9"/>
        <color rgb="FF595959"/>
        <rFont val="맑은 고딕"/>
        <family val="2"/>
        <charset val="129"/>
      </rPr>
      <t xml:space="preserve">AC </t>
    </r>
    <r>
      <rPr>
        <sz val="9"/>
        <color rgb="FF595959"/>
        <rFont val="Noto Sans CJK SC"/>
        <family val="2"/>
      </rPr>
      <t xml:space="preserve">교호작용 </t>
    </r>
    <r>
      <rPr>
        <sz val="9"/>
        <color rgb="FF595959"/>
        <rFont val="맑은 고딕"/>
        <family val="2"/>
        <charset val="129"/>
      </rPr>
      <t xml:space="preserve">(3 </t>
    </r>
    <r>
      <rPr>
        <sz val="9"/>
        <color rgb="FF595959"/>
        <rFont val="Noto Sans CJK SC"/>
        <family val="2"/>
      </rPr>
      <t>자유도</t>
    </r>
    <r>
      <rPr>
        <sz val="9"/>
        <color rgb="FF595959"/>
        <rFont val="맑은 고딕"/>
        <family val="2"/>
        <charset val="129"/>
      </rPr>
      <t xml:space="preserve">, </t>
    </r>
    <r>
      <rPr>
        <sz val="9"/>
        <color rgb="FF595959"/>
        <rFont val="Noto Sans CJK SC"/>
        <family val="2"/>
      </rPr>
      <t xml:space="preserve">오차 자유도 </t>
    </r>
    <r>
      <rPr>
        <sz val="9"/>
        <color rgb="FF595959"/>
        <rFont val="맑은 고딕"/>
        <family val="2"/>
        <charset val="129"/>
      </rPr>
      <t xml:space="preserve">0). </t>
    </r>
    <r>
      <rPr>
        <sz val="9"/>
        <color rgb="FF595959"/>
        <rFont val="Noto Sans CJK SC"/>
        <family val="2"/>
      </rPr>
      <t>반복 샷을 부표본으로 두고 혼합모형으로 분석하거나</t>
    </r>
    <r>
      <rPr>
        <sz val="9"/>
        <color rgb="FF595959"/>
        <rFont val="맑은 고딕"/>
        <family val="2"/>
        <charset val="129"/>
      </rPr>
      <t xml:space="preserve">, </t>
    </r>
    <r>
      <rPr>
        <sz val="9"/>
        <color rgb="FF595959"/>
        <rFont val="Noto Sans CJK SC"/>
        <family val="2"/>
      </rPr>
      <t>교호작용을 오차로 풀링해 주효과만 검정</t>
    </r>
    <r>
      <rPr>
        <sz val="9"/>
        <color rgb="FF595959"/>
        <rFont val="맑은 고딕"/>
        <family val="2"/>
        <charset val="129"/>
      </rPr>
      <t xml:space="preserve">. </t>
    </r>
    <r>
      <rPr>
        <sz val="9"/>
        <color rgb="FF595959"/>
        <rFont val="Noto Sans CJK SC"/>
        <family val="2"/>
      </rPr>
      <t xml:space="preserve">선택 측정 </t>
    </r>
    <r>
      <rPr>
        <sz val="9"/>
        <color rgb="FF595959"/>
        <rFont val="맑은 고딕"/>
        <family val="2"/>
        <charset val="129"/>
      </rPr>
      <t>2</t>
    </r>
    <r>
      <rPr>
        <sz val="9"/>
        <color rgb="FF595959"/>
        <rFont val="Noto Sans CJK SC"/>
        <family val="2"/>
      </rPr>
      <t xml:space="preserve">런을 더하면 금형온도 </t>
    </r>
    <r>
      <rPr>
        <sz val="9"/>
        <color rgb="FF595959"/>
        <rFont val="맑은 고딕"/>
        <family val="2"/>
        <charset val="129"/>
      </rPr>
      <t xml:space="preserve">40 vs 60 </t>
    </r>
    <r>
      <rPr>
        <sz val="9"/>
        <color rgb="FF595959"/>
        <rFont val="Noto Sans CJK SC"/>
        <family val="2"/>
      </rPr>
      <t>비교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 xml:space="preserve">속도 </t>
    </r>
    <r>
      <rPr>
        <sz val="9"/>
        <color rgb="FF595959"/>
        <rFont val="맑은 고딕"/>
        <family val="2"/>
        <charset val="129"/>
      </rPr>
      <t>80)</t>
    </r>
    <r>
      <rPr>
        <sz val="9"/>
        <color rgb="FF595959"/>
        <rFont val="Noto Sans CJK SC"/>
        <family val="2"/>
      </rPr>
      <t>가 추가된다</t>
    </r>
    <r>
      <rPr>
        <sz val="9"/>
        <color rgb="FF595959"/>
        <rFont val="맑은 고딕"/>
        <family val="2"/>
        <charset val="129"/>
      </rPr>
      <t>.</t>
    </r>
  </si>
  <si>
    <r>
      <rPr>
        <b/>
        <sz val="14"/>
        <rFont val="Noto Sans CJK SC"/>
        <family val="2"/>
      </rPr>
      <t xml:space="preserve">데이터 기록표 — 런 </t>
    </r>
    <r>
      <rPr>
        <b/>
        <sz val="14"/>
        <rFont val="맑은 고딕"/>
        <family val="2"/>
        <charset val="129"/>
      </rPr>
      <t xml:space="preserve">× </t>
    </r>
    <r>
      <rPr>
        <b/>
        <sz val="14"/>
        <rFont val="Noto Sans CJK SC"/>
        <family val="2"/>
      </rPr>
      <t xml:space="preserve">파팅면 </t>
    </r>
    <r>
      <rPr>
        <b/>
        <sz val="14"/>
        <rFont val="맑은 고딕"/>
        <family val="2"/>
        <charset val="129"/>
      </rPr>
      <t xml:space="preserve">× </t>
    </r>
    <r>
      <rPr>
        <b/>
        <sz val="14"/>
        <rFont val="Noto Sans CJK SC"/>
        <family val="2"/>
      </rPr>
      <t xml:space="preserve">샷 </t>
    </r>
    <r>
      <rPr>
        <b/>
        <sz val="14"/>
        <rFont val="맑은 고딕"/>
        <family val="2"/>
        <charset val="129"/>
      </rPr>
      <t>(</t>
    </r>
    <r>
      <rPr>
        <b/>
        <sz val="14"/>
        <rFont val="Noto Sans CJK SC"/>
        <family val="2"/>
      </rPr>
      <t xml:space="preserve">조건당 </t>
    </r>
    <r>
      <rPr>
        <b/>
        <sz val="14"/>
        <rFont val="맑은 고딕"/>
        <family val="2"/>
        <charset val="129"/>
      </rPr>
      <t>3</t>
    </r>
    <r>
      <rPr>
        <b/>
        <sz val="14"/>
        <rFont val="Noto Sans CJK SC"/>
        <family val="2"/>
      </rPr>
      <t>샷 기준</t>
    </r>
    <r>
      <rPr>
        <b/>
        <sz val="14"/>
        <rFont val="맑은 고딕"/>
        <family val="2"/>
        <charset val="129"/>
      </rPr>
      <t>)</t>
    </r>
  </si>
  <si>
    <r>
      <rPr>
        <i/>
        <sz val="10"/>
        <color rgb="FF595959"/>
        <rFont val="Noto Sans CJK SC"/>
        <family val="2"/>
      </rPr>
      <t>노란색 셀에 측정값 입력</t>
    </r>
    <r>
      <rPr>
        <i/>
        <sz val="10"/>
        <color rgb="FF595959"/>
        <rFont val="맑은 고딕"/>
        <family val="2"/>
        <charset val="129"/>
      </rPr>
      <t xml:space="preserve">: </t>
    </r>
    <r>
      <rPr>
        <i/>
        <sz val="10"/>
        <color rgb="FF595959"/>
        <rFont val="Noto Sans CJK SC"/>
        <family val="2"/>
      </rPr>
      <t xml:space="preserve">표면함침율 </t>
    </r>
    <r>
      <rPr>
        <i/>
        <sz val="10"/>
        <color rgb="FF595959"/>
        <rFont val="맑은 고딕"/>
        <family val="2"/>
        <charset val="129"/>
      </rPr>
      <t xml:space="preserve">P1–P3(%), </t>
    </r>
    <r>
      <rPr>
        <i/>
        <sz val="10"/>
        <color rgb="FF595959"/>
        <rFont val="Noto Sans CJK SC"/>
        <family val="2"/>
      </rPr>
      <t>인장강도</t>
    </r>
    <r>
      <rPr>
        <i/>
        <sz val="10"/>
        <color rgb="FF595959"/>
        <rFont val="맑은 고딕"/>
        <family val="2"/>
        <charset val="129"/>
      </rPr>
      <t xml:space="preserve">(MPa), </t>
    </r>
    <r>
      <rPr>
        <i/>
        <sz val="10"/>
        <color rgb="FF595959"/>
        <rFont val="Noto Sans CJK SC"/>
        <family val="2"/>
      </rPr>
      <t>버 발생</t>
    </r>
    <r>
      <rPr>
        <i/>
        <sz val="10"/>
        <color rgb="FF595959"/>
        <rFont val="맑은 고딕"/>
        <family val="2"/>
        <charset val="129"/>
      </rPr>
      <t>·</t>
    </r>
    <r>
      <rPr>
        <i/>
        <sz val="10"/>
        <color rgb="FF595959"/>
        <rFont val="Noto Sans CJK SC"/>
        <family val="2"/>
      </rPr>
      <t>코흘림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 xml:space="preserve">발생 </t>
    </r>
    <r>
      <rPr>
        <i/>
        <sz val="10"/>
        <color rgb="FF595959"/>
        <rFont val="맑은 고딕"/>
        <family val="2"/>
        <charset val="129"/>
      </rPr>
      <t xml:space="preserve">1 / </t>
    </r>
    <r>
      <rPr>
        <i/>
        <sz val="10"/>
        <color rgb="FF595959"/>
        <rFont val="Noto Sans CJK SC"/>
        <family val="2"/>
      </rPr>
      <t xml:space="preserve">미발생 </t>
    </r>
    <r>
      <rPr>
        <i/>
        <sz val="10"/>
        <color rgb="FF595959"/>
        <rFont val="맑은 고딕"/>
        <family val="2"/>
        <charset val="129"/>
      </rPr>
      <t xml:space="preserve">0), </t>
    </r>
    <r>
      <rPr>
        <i/>
        <sz val="10"/>
        <color rgb="FF595959"/>
        <rFont val="Noto Sans CJK SC"/>
        <family val="2"/>
      </rPr>
      <t>무게</t>
    </r>
    <r>
      <rPr>
        <i/>
        <sz val="10"/>
        <color rgb="FF595959"/>
        <rFont val="맑은 고딕"/>
        <family val="2"/>
        <charset val="129"/>
      </rPr>
      <t xml:space="preserve">(g). </t>
    </r>
    <r>
      <rPr>
        <i/>
        <sz val="10"/>
        <color rgb="FF595959"/>
        <rFont val="Noto Sans CJK SC"/>
        <family val="2"/>
      </rPr>
      <t>함침율 평균</t>
    </r>
    <r>
      <rPr>
        <i/>
        <sz val="10"/>
        <color rgb="FF595959"/>
        <rFont val="맑은 고딕"/>
        <family val="2"/>
        <charset val="129"/>
      </rPr>
      <t>·</t>
    </r>
    <r>
      <rPr>
        <i/>
        <sz val="10"/>
        <color rgb="FF595959"/>
        <rFont val="Noto Sans CJK SC"/>
        <family val="2"/>
      </rPr>
      <t>범위는 수식</t>
    </r>
    <r>
      <rPr>
        <i/>
        <sz val="10"/>
        <color rgb="FF595959"/>
        <rFont val="맑은 고딕"/>
        <family val="2"/>
        <charset val="129"/>
      </rPr>
      <t>. "</t>
    </r>
    <r>
      <rPr>
        <i/>
        <sz val="10"/>
        <color rgb="FF595959"/>
        <rFont val="Noto Sans CJK SC"/>
        <family val="2"/>
      </rPr>
      <t>예시</t>
    </r>
    <r>
      <rPr>
        <i/>
        <sz val="10"/>
        <color rgb="FF595959"/>
        <rFont val="맑은 고딕"/>
        <family val="2"/>
        <charset val="129"/>
      </rPr>
      <t xml:space="preserve">" </t>
    </r>
    <r>
      <rPr>
        <i/>
        <sz val="10"/>
        <color rgb="FF595959"/>
        <rFont val="Noto Sans CJK SC"/>
        <family val="2"/>
      </rPr>
      <t>행은 입력 형식 참고용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>집계에서 제외</t>
    </r>
    <r>
      <rPr>
        <i/>
        <sz val="10"/>
        <color rgb="FF595959"/>
        <rFont val="맑은 고딕"/>
        <family val="2"/>
        <charset val="129"/>
      </rPr>
      <t>)</t>
    </r>
    <r>
      <rPr>
        <i/>
        <sz val="10"/>
        <color rgb="FF595959"/>
        <rFont val="Noto Sans CJK SC"/>
        <family val="2"/>
      </rPr>
      <t>이며</t>
    </r>
    <r>
      <rPr>
        <i/>
        <sz val="10"/>
        <color rgb="FF595959"/>
        <rFont val="맑은 고딕"/>
        <family val="2"/>
        <charset val="129"/>
      </rPr>
      <t xml:space="preserve">, </t>
    </r>
    <r>
      <rPr>
        <i/>
        <sz val="10"/>
        <color rgb="FF595959"/>
        <rFont val="Noto Sans CJK SC"/>
        <family val="2"/>
      </rPr>
      <t>샷 수가 다르면 행을 추가</t>
    </r>
    <r>
      <rPr>
        <i/>
        <sz val="10"/>
        <color rgb="FF595959"/>
        <rFont val="맑은 고딕"/>
        <family val="2"/>
        <charset val="129"/>
      </rPr>
      <t>/</t>
    </r>
    <r>
      <rPr>
        <i/>
        <sz val="10"/>
        <color rgb="FF595959"/>
        <rFont val="Noto Sans CJK SC"/>
        <family val="2"/>
      </rPr>
      <t>삭제한다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선택 측정</t>
    </r>
    <r>
      <rPr>
        <i/>
        <sz val="10"/>
        <color rgb="FF595959"/>
        <rFont val="맑은 고딕"/>
        <family val="2"/>
        <charset val="129"/>
      </rPr>
      <t xml:space="preserve">(40℃ </t>
    </r>
    <r>
      <rPr>
        <i/>
        <sz val="10"/>
        <color rgb="FF595959"/>
        <rFont val="Noto Sans CJK SC"/>
        <family val="2"/>
      </rPr>
      <t>런 이동측</t>
    </r>
    <r>
      <rPr>
        <i/>
        <sz val="10"/>
        <color rgb="FF595959"/>
        <rFont val="맑은 고딕"/>
        <family val="2"/>
        <charset val="129"/>
      </rPr>
      <t>)</t>
    </r>
    <r>
      <rPr>
        <i/>
        <sz val="10"/>
        <color rgb="FF595959"/>
        <rFont val="Noto Sans CJK SC"/>
        <family val="2"/>
      </rPr>
      <t>을 하면 해당 런 아래에 이동측 행을 추가한다</t>
    </r>
    <r>
      <rPr>
        <i/>
        <sz val="10"/>
        <color rgb="FF595959"/>
        <rFont val="맑은 고딕"/>
        <family val="2"/>
        <charset val="129"/>
      </rPr>
      <t>.</t>
    </r>
  </si>
  <si>
    <t>파팅면</t>
  </si>
  <si>
    <t>샷</t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</si>
  <si>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P1
(%)</t>
    </r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</si>
  <si>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P2
(%)</t>
    </r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</si>
  <si>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P3
(%)</t>
    </r>
  </si>
  <si>
    <r>
      <rPr>
        <b/>
        <sz val="10"/>
        <color rgb="FFFFFFFF"/>
        <rFont val="Noto Sans CJK SC"/>
        <family val="2"/>
      </rPr>
      <t xml:space="preserve">함침율
평균 </t>
    </r>
    <r>
      <rPr>
        <b/>
        <sz val="10"/>
        <color rgb="FFFFFFFF"/>
        <rFont val="맑은 고딕"/>
        <family val="2"/>
        <charset val="129"/>
      </rPr>
      <t>(%)</t>
    </r>
  </si>
  <si>
    <r>
      <rPr>
        <b/>
        <sz val="10"/>
        <color rgb="FFFFFFFF"/>
        <rFont val="Noto Sans CJK SC"/>
        <family val="2"/>
      </rPr>
      <t xml:space="preserve">함침율
범위 </t>
    </r>
    <r>
      <rPr>
        <b/>
        <sz val="10"/>
        <color rgb="FFFFFFFF"/>
        <rFont val="맑은 고딕"/>
        <family val="2"/>
        <charset val="129"/>
      </rPr>
      <t>(%p)</t>
    </r>
  </si>
  <si>
    <r>
      <rPr>
        <b/>
        <sz val="10"/>
        <color rgb="FFFFFFFF"/>
        <rFont val="Noto Sans CJK SC"/>
        <family val="2"/>
      </rPr>
      <t xml:space="preserve">인장강도
</t>
    </r>
    <r>
      <rPr>
        <b/>
        <sz val="10"/>
        <color rgb="FFFFFFFF"/>
        <rFont val="맑은 고딕"/>
        <family val="2"/>
        <charset val="129"/>
      </rPr>
      <t>(MPa)</t>
    </r>
  </si>
  <si>
    <r>
      <rPr>
        <b/>
        <sz val="10"/>
        <color rgb="FFFFFFFF"/>
        <rFont val="Noto Sans CJK SC"/>
        <family val="2"/>
      </rPr>
      <t xml:space="preserve">버 발생
</t>
    </r>
    <r>
      <rPr>
        <b/>
        <sz val="10"/>
        <color rgb="FFFFFFFF"/>
        <rFont val="맑은 고딕"/>
        <family val="2"/>
        <charset val="129"/>
      </rPr>
      <t>(1/0)</t>
    </r>
  </si>
  <si>
    <r>
      <rPr>
        <b/>
        <sz val="10"/>
        <color rgb="FFFFFFFF"/>
        <rFont val="Noto Sans CJK SC"/>
        <family val="2"/>
      </rPr>
      <t xml:space="preserve">코흘림
</t>
    </r>
    <r>
      <rPr>
        <b/>
        <sz val="10"/>
        <color rgb="FFFFFFFF"/>
        <rFont val="맑은 고딕"/>
        <family val="2"/>
        <charset val="129"/>
      </rPr>
      <t>(1/0)</t>
    </r>
  </si>
  <si>
    <r>
      <rPr>
        <b/>
        <sz val="10"/>
        <color rgb="FFFFFFFF"/>
        <rFont val="Noto Sans CJK SC"/>
        <family val="2"/>
      </rPr>
      <t xml:space="preserve">무게
</t>
    </r>
    <r>
      <rPr>
        <b/>
        <sz val="10"/>
        <color rgb="FFFFFFFF"/>
        <rFont val="맑은 고딕"/>
        <family val="2"/>
        <charset val="129"/>
      </rPr>
      <t>(g)</t>
    </r>
  </si>
  <si>
    <t>예시</t>
  </si>
  <si>
    <t>↓ 실제 기록</t>
  </si>
  <si>
    <t>이동측</t>
  </si>
  <si>
    <t>입력 확인</t>
  </si>
  <si>
    <t>함침율 입력 셀</t>
  </si>
  <si>
    <t>/ 216</t>
  </si>
  <si>
    <t>인장강도 입력 셀</t>
  </si>
  <si>
    <t>/ 72</t>
  </si>
  <si>
    <r>
      <rPr>
        <b/>
        <sz val="14"/>
        <rFont val="Noto Sans CJK SC"/>
        <family val="2"/>
      </rPr>
      <t xml:space="preserve">분석용 요약 — 런 </t>
    </r>
    <r>
      <rPr>
        <b/>
        <sz val="14"/>
        <rFont val="맑은 고딕"/>
        <family val="2"/>
        <charset val="129"/>
      </rPr>
      <t xml:space="preserve">× </t>
    </r>
    <r>
      <rPr>
        <b/>
        <sz val="14"/>
        <rFont val="Noto Sans CJK SC"/>
        <family val="2"/>
      </rPr>
      <t xml:space="preserve">파팅면 </t>
    </r>
    <r>
      <rPr>
        <b/>
        <sz val="14"/>
        <rFont val="맑은 고딕"/>
        <family val="2"/>
        <charset val="129"/>
      </rPr>
      <t>(</t>
    </r>
    <r>
      <rPr>
        <b/>
        <sz val="14"/>
        <rFont val="Noto Sans CJK SC"/>
        <family val="2"/>
      </rPr>
      <t>반복 샷 평균</t>
    </r>
    <r>
      <rPr>
        <b/>
        <sz val="14"/>
        <rFont val="맑은 고딕"/>
        <family val="2"/>
        <charset val="129"/>
      </rPr>
      <t xml:space="preserve">, </t>
    </r>
    <r>
      <rPr>
        <b/>
        <sz val="14"/>
        <rFont val="Noto Sans CJK SC"/>
        <family val="2"/>
      </rPr>
      <t>데이터 기록표에서 자동 집계</t>
    </r>
    <r>
      <rPr>
        <b/>
        <sz val="14"/>
        <rFont val="맑은 고딕"/>
        <family val="2"/>
        <charset val="129"/>
      </rPr>
      <t>)</t>
    </r>
  </si>
  <si>
    <r>
      <rPr>
        <i/>
        <sz val="10"/>
        <color rgb="FF595959"/>
        <rFont val="Noto Sans CJK SC"/>
        <family val="2"/>
      </rPr>
      <t xml:space="preserve">행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 xml:space="preserve">개 </t>
    </r>
    <r>
      <rPr>
        <i/>
        <sz val="10"/>
        <color rgb="FF595959"/>
        <rFont val="맑은 고딕"/>
        <family val="2"/>
        <charset val="129"/>
      </rPr>
      <t xml:space="preserve">= </t>
    </r>
    <r>
      <rPr>
        <i/>
        <sz val="10"/>
        <color rgb="FF595959"/>
        <rFont val="Noto Sans CJK SC"/>
        <family val="2"/>
      </rPr>
      <t xml:space="preserve">런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 xml:space="preserve">개 </t>
    </r>
    <r>
      <rPr>
        <i/>
        <sz val="10"/>
        <color rgb="FF595959"/>
        <rFont val="맑은 고딕"/>
        <family val="2"/>
        <charset val="129"/>
      </rPr>
      <t xml:space="preserve">× </t>
    </r>
    <r>
      <rPr>
        <i/>
        <sz val="10"/>
        <color rgb="FF595959"/>
        <rFont val="Noto Sans CJK SC"/>
        <family val="2"/>
      </rPr>
      <t xml:space="preserve">파팅면 </t>
    </r>
    <r>
      <rPr>
        <i/>
        <sz val="10"/>
        <color rgb="FF595959"/>
        <rFont val="맑은 고딕"/>
        <family val="2"/>
        <charset val="129"/>
      </rPr>
      <t>1</t>
    </r>
    <r>
      <rPr>
        <i/>
        <sz val="10"/>
        <color rgb="FF595959"/>
        <rFont val="Noto Sans CJK SC"/>
        <family val="2"/>
      </rPr>
      <t xml:space="preserve">개 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 xml:space="preserve">고정측 </t>
    </r>
    <r>
      <rPr>
        <i/>
        <sz val="10"/>
        <color rgb="FF595959"/>
        <rFont val="맑은 고딕"/>
        <family val="2"/>
        <charset val="129"/>
      </rPr>
      <t>20</t>
    </r>
    <r>
      <rPr>
        <i/>
        <sz val="10"/>
        <color rgb="FF595959"/>
        <rFont val="Noto Sans CJK SC"/>
        <family val="2"/>
      </rPr>
      <t xml:space="preserve">행 </t>
    </r>
    <r>
      <rPr>
        <i/>
        <sz val="10"/>
        <color rgb="FF595959"/>
        <rFont val="맑은 고딕"/>
        <family val="2"/>
        <charset val="129"/>
      </rPr>
      <t xml:space="preserve">+ </t>
    </r>
    <r>
      <rPr>
        <i/>
        <sz val="10"/>
        <color rgb="FF595959"/>
        <rFont val="Noto Sans CJK SC"/>
        <family val="2"/>
      </rPr>
      <t xml:space="preserve">이동측 </t>
    </r>
    <r>
      <rPr>
        <i/>
        <sz val="10"/>
        <color rgb="FF595959"/>
        <rFont val="맑은 고딕"/>
        <family val="2"/>
        <charset val="129"/>
      </rPr>
      <t>4</t>
    </r>
    <r>
      <rPr>
        <i/>
        <sz val="10"/>
        <color rgb="FF595959"/>
        <rFont val="Noto Sans CJK SC"/>
        <family val="2"/>
      </rPr>
      <t xml:space="preserve">행 </t>
    </r>
    <r>
      <rPr>
        <i/>
        <sz val="10"/>
        <color rgb="FF595959"/>
        <rFont val="맑은 고딕"/>
        <family val="2"/>
        <charset val="129"/>
      </rPr>
      <t>= 24</t>
    </r>
    <r>
      <rPr>
        <i/>
        <sz val="10"/>
        <color rgb="FF595959"/>
        <rFont val="Noto Sans CJK SC"/>
        <family val="2"/>
      </rPr>
      <t>행</t>
    </r>
    <r>
      <rPr>
        <i/>
        <sz val="10"/>
        <color rgb="FF595959"/>
        <rFont val="맑은 고딕"/>
        <family val="2"/>
        <charset val="129"/>
      </rPr>
      <t xml:space="preserve">). </t>
    </r>
    <r>
      <rPr>
        <i/>
        <sz val="10"/>
        <color rgb="FF595959"/>
        <rFont val="Noto Sans CJK SC"/>
        <family val="2"/>
      </rPr>
      <t>이진 반응은 발생률</t>
    </r>
    <r>
      <rPr>
        <i/>
        <sz val="10"/>
        <color rgb="FF595959"/>
        <rFont val="맑은 고딕"/>
        <family val="2"/>
        <charset val="129"/>
      </rPr>
      <t xml:space="preserve">(0–1). </t>
    </r>
    <r>
      <rPr>
        <i/>
        <sz val="10"/>
        <color rgb="FF595959"/>
        <rFont val="Noto Sans CJK SC"/>
        <family val="2"/>
      </rPr>
      <t xml:space="preserve">통계 소프트웨어에는 </t>
    </r>
    <r>
      <rPr>
        <i/>
        <sz val="10"/>
        <color rgb="FF595959"/>
        <rFont val="맑은 고딕"/>
        <family val="2"/>
        <charset val="129"/>
      </rPr>
      <t>A~K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>설계</t>
    </r>
    <r>
      <rPr>
        <i/>
        <sz val="10"/>
        <color rgb="FF595959"/>
        <rFont val="맑은 고딕"/>
        <family val="2"/>
        <charset val="129"/>
      </rPr>
      <t>)</t>
    </r>
    <r>
      <rPr>
        <i/>
        <sz val="10"/>
        <color rgb="FF595959"/>
        <rFont val="Noto Sans CJK SC"/>
        <family val="2"/>
      </rPr>
      <t xml:space="preserve">과 </t>
    </r>
    <r>
      <rPr>
        <i/>
        <sz val="10"/>
        <color rgb="FF595959"/>
        <rFont val="맑은 고딕"/>
        <family val="2"/>
        <charset val="129"/>
      </rPr>
      <t>M~R</t>
    </r>
    <r>
      <rPr>
        <i/>
        <sz val="10"/>
        <color rgb="FF595959"/>
        <rFont val="Noto Sans CJK SC"/>
        <family val="2"/>
      </rPr>
      <t>열</t>
    </r>
    <r>
      <rPr>
        <i/>
        <sz val="10"/>
        <color rgb="FF595959"/>
        <rFont val="맑은 고딕"/>
        <family val="2"/>
        <charset val="129"/>
      </rPr>
      <t>(</t>
    </r>
    <r>
      <rPr>
        <i/>
        <sz val="10"/>
        <color rgb="FF595959"/>
        <rFont val="Noto Sans CJK SC"/>
        <family val="2"/>
      </rPr>
      <t>반응</t>
    </r>
    <r>
      <rPr>
        <i/>
        <sz val="10"/>
        <color rgb="FF595959"/>
        <rFont val="맑은 고딕"/>
        <family val="2"/>
        <charset val="129"/>
      </rPr>
      <t>)</t>
    </r>
    <r>
      <rPr>
        <i/>
        <sz val="10"/>
        <color rgb="FF595959"/>
        <rFont val="Noto Sans CJK SC"/>
        <family val="2"/>
      </rPr>
      <t>을 그대로 복사해 사용</t>
    </r>
    <r>
      <rPr>
        <i/>
        <sz val="10"/>
        <color rgb="FF595959"/>
        <rFont val="맑은 고딕"/>
        <family val="2"/>
        <charset val="129"/>
      </rPr>
      <t xml:space="preserve">. </t>
    </r>
    <r>
      <rPr>
        <i/>
        <sz val="10"/>
        <color rgb="FF595959"/>
        <rFont val="Noto Sans CJK SC"/>
        <family val="2"/>
      </rPr>
      <t>파팅면 차이 열은 이동측 측정 런에서만 계산</t>
    </r>
    <r>
      <rPr>
        <i/>
        <sz val="10"/>
        <color rgb="FF595959"/>
        <rFont val="맑은 고딕"/>
        <family val="2"/>
        <charset val="129"/>
      </rPr>
      <t>.</t>
    </r>
  </si>
  <si>
    <t>설계
역할</t>
  </si>
  <si>
    <t>블록</t>
  </si>
  <si>
    <r>
      <rPr>
        <b/>
        <sz val="10"/>
        <color rgb="FFFFFFFF"/>
        <rFont val="Noto Sans CJK SC"/>
        <family val="2"/>
      </rPr>
      <t xml:space="preserve">샷 수
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함침율 입력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</si>
  <si>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3</t>
    </r>
    <r>
      <rPr>
        <b/>
        <sz val="10"/>
        <color rgb="FFFFFFFF"/>
        <rFont val="Noto Sans CJK SC"/>
        <family val="2"/>
      </rPr>
      <t xml:space="preserve">점
범위 평균 </t>
    </r>
    <r>
      <rPr>
        <b/>
        <sz val="10"/>
        <color rgb="FFFFFFFF"/>
        <rFont val="맑은 고딕"/>
        <family val="2"/>
        <charset val="129"/>
      </rPr>
      <t>(%p)</t>
    </r>
  </si>
  <si>
    <r>
      <rPr>
        <b/>
        <sz val="10"/>
        <color rgb="FFFFFFFF"/>
        <rFont val="Noto Sans CJK SC"/>
        <family val="2"/>
      </rPr>
      <t xml:space="preserve">인장강도
평균 </t>
    </r>
    <r>
      <rPr>
        <b/>
        <sz val="10"/>
        <color rgb="FFFFFFFF"/>
        <rFont val="맑은 고딕"/>
        <family val="2"/>
        <charset val="129"/>
      </rPr>
      <t>(MPa)</t>
    </r>
  </si>
  <si>
    <t>버
발생률</t>
  </si>
  <si>
    <t>코흘림
발생률</t>
  </si>
  <si>
    <r>
      <rPr>
        <b/>
        <sz val="10"/>
        <color rgb="FFFFFFFF"/>
        <rFont val="Noto Sans CJK SC"/>
        <family val="2"/>
      </rPr>
      <t xml:space="preserve">무게
평균 </t>
    </r>
    <r>
      <rPr>
        <b/>
        <sz val="10"/>
        <color rgb="FFFFFFFF"/>
        <rFont val="맑은 고딕"/>
        <family val="2"/>
        <charset val="129"/>
      </rPr>
      <t>(g)</t>
    </r>
  </si>
  <si>
    <r>
      <rPr>
        <b/>
        <sz val="10"/>
        <color rgb="FFFFFFFF"/>
        <rFont val="Noto Sans CJK SC"/>
        <family val="2"/>
      </rPr>
      <t xml:space="preserve">파팅면 차이
함침율 </t>
    </r>
    <r>
      <rPr>
        <b/>
        <sz val="10"/>
        <color rgb="FFFFFFFF"/>
        <rFont val="맑은 고딕"/>
        <family val="2"/>
        <charset val="129"/>
      </rPr>
      <t>(%p)</t>
    </r>
  </si>
  <si>
    <r>
      <rPr>
        <b/>
        <sz val="10"/>
        <color rgb="FFFFFFFF"/>
        <rFont val="Noto Sans CJK SC"/>
        <family val="2"/>
      </rPr>
      <t xml:space="preserve">파팅면 차이
인장강도 </t>
    </r>
    <r>
      <rPr>
        <b/>
        <sz val="10"/>
        <color rgb="FFFFFFFF"/>
        <rFont val="맑은 고딕"/>
        <family val="2"/>
        <charset val="129"/>
      </rPr>
      <t>(MPa)</t>
    </r>
  </si>
  <si>
    <r>
      <rPr>
        <b/>
        <sz val="10"/>
        <color rgb="FFFFFFFF"/>
        <rFont val="Noto Sans CJK SC"/>
        <family val="2"/>
      </rPr>
      <t xml:space="preserve">파팅면 차이
무게 </t>
    </r>
    <r>
      <rPr>
        <b/>
        <sz val="10"/>
        <color rgb="FFFFFFFF"/>
        <rFont val="맑은 고딕"/>
        <family val="2"/>
        <charset val="129"/>
      </rPr>
      <t>(g)</t>
    </r>
  </si>
  <si>
    <r>
      <rPr>
        <sz val="10"/>
        <rFont val="맑은 고딕"/>
        <family val="2"/>
        <charset val="129"/>
      </rPr>
      <t xml:space="preserve">4×4 + 2² </t>
    </r>
    <r>
      <rPr>
        <sz val="10"/>
        <rFont val="Noto Sans CJK SC"/>
        <family val="2"/>
      </rPr>
      <t>꼭짓점</t>
    </r>
  </si>
  <si>
    <t>2² M1</t>
  </si>
  <si>
    <t>4×4</t>
  </si>
  <si>
    <t>2² M3</t>
  </si>
  <si>
    <t>2² M2</t>
  </si>
  <si>
    <t>2² M4</t>
  </si>
  <si>
    <r>
      <rPr>
        <sz val="10"/>
        <rFont val="맑은 고딕"/>
        <family val="2"/>
        <charset val="129"/>
      </rPr>
      <t xml:space="preserve">40℃ </t>
    </r>
    <r>
      <rPr>
        <sz val="10"/>
        <rFont val="Noto Sans CJK SC"/>
        <family val="2"/>
      </rPr>
      <t>추가</t>
    </r>
  </si>
  <si>
    <t>행 수 확인</t>
  </si>
  <si>
    <t>/ 24</t>
  </si>
  <si>
    <r>
      <rPr>
        <sz val="9"/>
        <color rgb="FF595959"/>
        <rFont val="Noto Sans CJK SC"/>
        <family val="2"/>
      </rPr>
      <t xml:space="preserve">※ 함침율 </t>
    </r>
    <r>
      <rPr>
        <sz val="9"/>
        <color rgb="FF595959"/>
        <rFont val="맑은 고딕"/>
        <family val="2"/>
        <charset val="129"/>
      </rPr>
      <t>3</t>
    </r>
    <r>
      <rPr>
        <sz val="9"/>
        <color rgb="FF595959"/>
        <rFont val="Noto Sans CJK SC"/>
        <family val="2"/>
      </rPr>
      <t xml:space="preserve">점 범위 평균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각 시편의 </t>
    </r>
    <r>
      <rPr>
        <sz val="9"/>
        <color rgb="FF595959"/>
        <rFont val="맑은 고딕"/>
        <family val="2"/>
        <charset val="129"/>
      </rPr>
      <t xml:space="preserve">(P1–P3 </t>
    </r>
    <r>
      <rPr>
        <sz val="9"/>
        <color rgb="FF595959"/>
        <rFont val="Noto Sans CJK SC"/>
        <family val="2"/>
      </rPr>
      <t>최대 − 최소</t>
    </r>
    <r>
      <rPr>
        <sz val="9"/>
        <color rgb="FF595959"/>
        <rFont val="맑은 고딕"/>
        <family val="2"/>
        <charset val="129"/>
      </rPr>
      <t>)</t>
    </r>
    <r>
      <rPr>
        <sz val="9"/>
        <color rgb="FF595959"/>
        <rFont val="Noto Sans CJK SC"/>
        <family val="2"/>
      </rPr>
      <t>를 샷 평균한 값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>시편 내 불균일도</t>
    </r>
    <r>
      <rPr>
        <sz val="9"/>
        <color rgb="FF595959"/>
        <rFont val="맑은 고딕"/>
        <family val="2"/>
        <charset val="129"/>
      </rPr>
      <t xml:space="preserve">). </t>
    </r>
    <r>
      <rPr>
        <sz val="9"/>
        <color rgb="FF595959"/>
        <rFont val="Noto Sans CJK SC"/>
        <family val="2"/>
      </rPr>
      <t xml:space="preserve">파팅면 차이 </t>
    </r>
    <r>
      <rPr>
        <sz val="9"/>
        <color rgb="FF595959"/>
        <rFont val="맑은 고딕"/>
        <family val="2"/>
        <charset val="129"/>
      </rPr>
      <t xml:space="preserve">= </t>
    </r>
    <r>
      <rPr>
        <sz val="9"/>
        <color rgb="FF595959"/>
        <rFont val="Noto Sans CJK SC"/>
        <family val="2"/>
      </rPr>
      <t xml:space="preserve">고정측 − 이동측 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>이동측 행에 표시</t>
    </r>
    <r>
      <rPr>
        <sz val="9"/>
        <color rgb="FF595959"/>
        <rFont val="맑은 고딕"/>
        <family val="2"/>
        <charset val="129"/>
      </rPr>
      <t>).</t>
    </r>
  </si>
  <si>
    <r>
      <rPr>
        <b/>
        <sz val="10"/>
        <rFont val="Noto Sans CJK SC"/>
        <family val="2"/>
      </rPr>
      <t xml:space="preserve">금형온도 짝 비교 </t>
    </r>
    <r>
      <rPr>
        <b/>
        <sz val="10"/>
        <rFont val="맑은 고딕"/>
        <family val="2"/>
        <charset val="129"/>
      </rPr>
      <t>(</t>
    </r>
    <r>
      <rPr>
        <b/>
        <sz val="10"/>
        <rFont val="Noto Sans CJK SC"/>
        <family val="2"/>
      </rPr>
      <t>고정측</t>
    </r>
    <r>
      <rPr>
        <b/>
        <sz val="10"/>
        <rFont val="맑은 고딕"/>
        <family val="2"/>
        <charset val="129"/>
      </rPr>
      <t xml:space="preserve">, </t>
    </r>
    <r>
      <rPr>
        <b/>
        <sz val="10"/>
        <rFont val="Noto Sans CJK SC"/>
        <family val="2"/>
      </rPr>
      <t xml:space="preserve">사출속도 </t>
    </r>
    <r>
      <rPr>
        <b/>
        <sz val="10"/>
        <rFont val="맑은 고딕"/>
        <family val="2"/>
        <charset val="129"/>
      </rPr>
      <t xml:space="preserve">80 mm/s): 60℃ </t>
    </r>
    <r>
      <rPr>
        <b/>
        <sz val="10"/>
        <rFont val="Noto Sans CJK SC"/>
        <family val="2"/>
      </rPr>
      <t xml:space="preserve">런 − </t>
    </r>
    <r>
      <rPr>
        <b/>
        <sz val="10"/>
        <rFont val="맑은 고딕"/>
        <family val="2"/>
        <charset val="129"/>
      </rPr>
      <t xml:space="preserve">40℃ </t>
    </r>
    <r>
      <rPr>
        <b/>
        <sz val="10"/>
        <rFont val="Noto Sans CJK SC"/>
        <family val="2"/>
      </rPr>
      <t>런</t>
    </r>
  </si>
  <si>
    <r>
      <rPr>
        <b/>
        <sz val="10"/>
        <color rgb="FFFFFFFF"/>
        <rFont val="맑은 고딕"/>
        <family val="2"/>
        <charset val="129"/>
      </rPr>
      <t xml:space="preserve">60℃ </t>
    </r>
    <r>
      <rPr>
        <b/>
        <sz val="10"/>
        <color rgb="FFFFFFFF"/>
        <rFont val="Noto Sans CJK SC"/>
        <family val="2"/>
      </rPr>
      <t xml:space="preserve">런
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실행순서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</si>
  <si>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맑은 고딕"/>
        <family val="2"/>
        <charset val="129"/>
      </rPr>
      <t xml:space="preserve">40℃ </t>
    </r>
    <r>
      <rPr>
        <b/>
        <sz val="10"/>
        <color rgb="FFFFFFFF"/>
        <rFont val="Noto Sans CJK SC"/>
        <family val="2"/>
      </rPr>
      <t xml:space="preserve">런
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Noto Sans CJK SC"/>
        <family val="2"/>
      </rPr>
      <t>실행순서</t>
    </r>
    <r>
      <rPr>
        <b/>
        <sz val="10"/>
        <color rgb="FFFFFFFF"/>
        <rFont val="맑은 고딕"/>
        <family val="2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</si>
  <si>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60℃
(%)</t>
    </r>
  </si>
  <si>
    <r>
      <rPr>
        <b/>
        <sz val="10"/>
        <color rgb="FFFFFFFF"/>
        <rFont val="Noto Sans CJK SC"/>
        <family val="2"/>
      </rPr>
      <t xml:space="preserve">함침율 </t>
    </r>
    <r>
      <rPr>
        <b/>
        <sz val="10"/>
        <color rgb="FFFFFFFF"/>
        <rFont val="맑은 고딕"/>
        <family val="2"/>
        <charset val="129"/>
      </rPr>
      <t>40℃
(%)</t>
    </r>
  </si>
  <si>
    <r>
      <rPr>
        <b/>
        <sz val="10"/>
        <color rgb="FFFFFFFF"/>
        <rFont val="맑은 고딕"/>
        <family val="2"/>
        <charset val="129"/>
      </rPr>
      <t>Δ</t>
    </r>
    <r>
      <rPr>
        <b/>
        <sz val="10"/>
        <color rgb="FFFFFFFF"/>
        <rFont val="Noto Sans CJK SC"/>
        <family val="2"/>
      </rPr>
      <t xml:space="preserve">함침율
</t>
    </r>
    <r>
      <rPr>
        <b/>
        <sz val="10"/>
        <color rgb="FFFFFFFF"/>
        <rFont val="맑은 고딕"/>
        <family val="2"/>
        <charset val="129"/>
      </rPr>
      <t>(60−40, %p)</t>
    </r>
  </si>
  <si>
    <r>
      <rPr>
        <b/>
        <sz val="10"/>
        <color rgb="FFFFFFFF"/>
        <rFont val="Noto Sans CJK SC"/>
        <family val="2"/>
      </rPr>
      <t xml:space="preserve">인장 </t>
    </r>
    <r>
      <rPr>
        <b/>
        <sz val="10"/>
        <color rgb="FFFFFFFF"/>
        <rFont val="맑은 고딕"/>
        <family val="2"/>
        <charset val="129"/>
      </rPr>
      <t>60℃
(MPa)</t>
    </r>
  </si>
  <si>
    <r>
      <rPr>
        <b/>
        <sz val="10"/>
        <color rgb="FFFFFFFF"/>
        <rFont val="Noto Sans CJK SC"/>
        <family val="2"/>
      </rPr>
      <t xml:space="preserve">인장 </t>
    </r>
    <r>
      <rPr>
        <b/>
        <sz val="10"/>
        <color rgb="FFFFFFFF"/>
        <rFont val="맑은 고딕"/>
        <family val="2"/>
        <charset val="129"/>
      </rPr>
      <t>40℃
(MPa)</t>
    </r>
  </si>
  <si>
    <r>
      <rPr>
        <b/>
        <sz val="10"/>
        <color rgb="FFFFFFFF"/>
        <rFont val="맑은 고딕"/>
        <family val="2"/>
        <charset val="129"/>
      </rPr>
      <t>Δ</t>
    </r>
    <r>
      <rPr>
        <b/>
        <sz val="10"/>
        <color rgb="FFFFFFFF"/>
        <rFont val="Noto Sans CJK SC"/>
        <family val="2"/>
      </rPr>
      <t xml:space="preserve">인장
</t>
    </r>
    <r>
      <rPr>
        <b/>
        <sz val="10"/>
        <color rgb="FFFFFFFF"/>
        <rFont val="맑은 고딕"/>
        <family val="2"/>
        <charset val="129"/>
      </rPr>
      <t>(MPa)</t>
    </r>
  </si>
  <si>
    <r>
      <rPr>
        <b/>
        <sz val="10"/>
        <color rgb="FFFFFFFF"/>
        <rFont val="Noto Sans CJK SC"/>
        <family val="2"/>
      </rPr>
      <t xml:space="preserve">무게 </t>
    </r>
    <r>
      <rPr>
        <b/>
        <sz val="10"/>
        <color rgb="FFFFFFFF"/>
        <rFont val="맑은 고딕"/>
        <family val="2"/>
        <charset val="129"/>
      </rPr>
      <t>60℃
(g)</t>
    </r>
  </si>
  <si>
    <r>
      <rPr>
        <b/>
        <sz val="10"/>
        <color rgb="FFFFFFFF"/>
        <rFont val="Noto Sans CJK SC"/>
        <family val="2"/>
      </rPr>
      <t xml:space="preserve">무게 </t>
    </r>
    <r>
      <rPr>
        <b/>
        <sz val="10"/>
        <color rgb="FFFFFFFF"/>
        <rFont val="맑은 고딕"/>
        <family val="2"/>
        <charset val="129"/>
      </rPr>
      <t>40℃
(g)</t>
    </r>
  </si>
  <si>
    <r>
      <rPr>
        <b/>
        <sz val="10"/>
        <color rgb="FFFFFFFF"/>
        <rFont val="맑은 고딕"/>
        <family val="2"/>
        <charset val="129"/>
      </rPr>
      <t>Δ</t>
    </r>
    <r>
      <rPr>
        <b/>
        <sz val="10"/>
        <color rgb="FFFFFFFF"/>
        <rFont val="Noto Sans CJK SC"/>
        <family val="2"/>
      </rPr>
      <t xml:space="preserve">무게
</t>
    </r>
    <r>
      <rPr>
        <b/>
        <sz val="10"/>
        <color rgb="FFFFFFFF"/>
        <rFont val="맑은 고딕"/>
        <family val="2"/>
        <charset val="129"/>
      </rPr>
      <t>(g)</t>
    </r>
  </si>
  <si>
    <r>
      <rPr>
        <sz val="9"/>
        <color rgb="FF595959"/>
        <rFont val="맑은 고딕"/>
        <family val="2"/>
        <charset val="129"/>
      </rPr>
      <t>※ 4</t>
    </r>
    <r>
      <rPr>
        <sz val="9"/>
        <color rgb="FF595959"/>
        <rFont val="Noto Sans CJK SC"/>
        <family val="2"/>
      </rPr>
      <t xml:space="preserve">개 </t>
    </r>
    <r>
      <rPr>
        <sz val="9"/>
        <color rgb="FF595959"/>
        <rFont val="맑은 고딕"/>
        <family val="2"/>
        <charset val="129"/>
      </rPr>
      <t>Δ</t>
    </r>
    <r>
      <rPr>
        <sz val="9"/>
        <color rgb="FF595959"/>
        <rFont val="Noto Sans CJK SC"/>
        <family val="2"/>
      </rPr>
      <t>값의 평균이 금형온도 주효과</t>
    </r>
    <r>
      <rPr>
        <sz val="9"/>
        <color rgb="FF595959"/>
        <rFont val="맑은 고딕"/>
        <family val="2"/>
        <charset val="129"/>
      </rPr>
      <t>(</t>
    </r>
    <r>
      <rPr>
        <sz val="9"/>
        <color rgb="FF595959"/>
        <rFont val="Noto Sans CJK SC"/>
        <family val="2"/>
      </rPr>
      <t xml:space="preserve">속도 </t>
    </r>
    <r>
      <rPr>
        <sz val="9"/>
        <color rgb="FF595959"/>
        <rFont val="맑은 고딕"/>
        <family val="2"/>
        <charset val="129"/>
      </rPr>
      <t xml:space="preserve">80 </t>
    </r>
    <r>
      <rPr>
        <sz val="9"/>
        <color rgb="FF595959"/>
        <rFont val="Noto Sans CJK SC"/>
        <family val="2"/>
      </rPr>
      <t>조건</t>
    </r>
    <r>
      <rPr>
        <sz val="9"/>
        <color rgb="FF595959"/>
        <rFont val="맑은 고딕"/>
        <family val="2"/>
        <charset val="129"/>
      </rPr>
      <t>), Δ</t>
    </r>
    <r>
      <rPr>
        <sz val="9"/>
        <color rgb="FF595959"/>
        <rFont val="Noto Sans CJK SC"/>
        <family val="2"/>
      </rPr>
      <t>값이 온도에 따라 달라지면 금형온도</t>
    </r>
    <r>
      <rPr>
        <sz val="9"/>
        <color rgb="FF595959"/>
        <rFont val="맑은 고딕"/>
        <family val="2"/>
        <charset val="129"/>
      </rPr>
      <t>×</t>
    </r>
    <r>
      <rPr>
        <sz val="9"/>
        <color rgb="FF595959"/>
        <rFont val="Noto Sans CJK SC"/>
        <family val="2"/>
      </rPr>
      <t>핫러너 온도 교호작용의 징후</t>
    </r>
    <r>
      <rPr>
        <sz val="9"/>
        <color rgb="FF595959"/>
        <rFont val="맑은 고딕"/>
        <family val="2"/>
        <charset val="129"/>
      </rPr>
      <t>.</t>
    </r>
  </si>
  <si>
    <t>보압 95</t>
    <phoneticPr fontId="19" type="noConversion"/>
  </si>
  <si>
    <t>보압 85</t>
    <phoneticPr fontId="19" type="noConversion"/>
  </si>
  <si>
    <t>보압 75</t>
    <phoneticPr fontId="19" type="noConversion"/>
  </si>
  <si>
    <t>보압 65</t>
    <phoneticPr fontId="19" type="noConversion"/>
  </si>
  <si>
    <t>보압 50</t>
    <phoneticPr fontId="19" type="noConversion"/>
  </si>
  <si>
    <t>보압 60</t>
    <phoneticPr fontId="19" type="noConversion"/>
  </si>
  <si>
    <t>보압 40</t>
    <phoneticPr fontId="19" type="noConversion"/>
  </si>
  <si>
    <t>보압 70</t>
    <phoneticPr fontId="19" type="noConversion"/>
  </si>
  <si>
    <t>보압 55</t>
    <phoneticPr fontId="19" type="noConversion"/>
  </si>
  <si>
    <t>보압 80</t>
    <phoneticPr fontId="19" type="noConversion"/>
  </si>
  <si>
    <t>보압 50
#1155: B 모델 예측
직사각형 · 547px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</si>
</sst>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\-0.00;0"/>
    <numFmt numFmtId="177" formatCode="0.0"/>
  </numFmts>
  <fonts count="21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맑은 고딕"/>
      <family val="2"/>
      <charset val="129"/>
    </font>
    <font>
      <i/>
      <sz val="10"/>
      <color rgb="FF595959"/>
      <name val="Noto Sans CJK SC"/>
      <family val="2"/>
    </font>
    <font>
      <i/>
      <sz val="10"/>
      <color rgb="FF595959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name val="Noto Sans CJK SC"/>
      <family val="2"/>
    </font>
    <font>
      <b/>
      <sz val="10"/>
      <color rgb="FFFFFFFF"/>
      <name val="Noto Sans CJK SC"/>
      <family val="2"/>
    </font>
    <font>
      <sz val="10"/>
      <name val="맑은 고딕"/>
      <family val="2"/>
      <charset val="129"/>
    </font>
    <font>
      <sz val="10"/>
      <name val="Noto Sans CJK SC"/>
      <family val="2"/>
    </font>
    <font>
      <b/>
      <sz val="10"/>
      <color rgb="FFFFFFFF"/>
      <name val="맑은 고딕"/>
      <family val="2"/>
      <charset val="129"/>
    </font>
    <font>
      <sz val="10"/>
      <color rgb="FF0000FF"/>
      <name val="Noto Sans CJK SC"/>
      <family val="2"/>
    </font>
    <font>
      <sz val="10"/>
      <color rgb="FF0000FF"/>
      <name val="맑은 고딕"/>
      <family val="2"/>
      <charset val="129"/>
    </font>
    <font>
      <sz val="9"/>
      <color rgb="FF595959"/>
      <name val="Noto Sans CJK SC"/>
      <family val="2"/>
    </font>
    <font>
      <sz val="9"/>
      <color rgb="FF595959"/>
      <name val="맑은 고딕"/>
      <family val="2"/>
      <charset val="129"/>
    </font>
    <font>
      <b/>
      <sz val="10"/>
      <color rgb="FF1F4E78"/>
      <name val="Noto Sans CJK SC"/>
      <family val="2"/>
    </font>
    <font>
      <b/>
      <sz val="10"/>
      <color rgb="FF1F4E78"/>
      <name val="맑은 고딕"/>
      <family val="2"/>
      <charset val="129"/>
    </font>
    <font>
      <i/>
      <sz val="10"/>
      <color rgb="FF7F7F7F"/>
      <name val="Noto Sans CJK SC"/>
      <family val="2"/>
    </font>
    <font>
      <i/>
      <sz val="10"/>
      <color rgb="FF7F7F7F"/>
      <name val="맑은 고딕"/>
      <family val="2"/>
      <charset val="129"/>
    </font>
    <font>
      <sz val="8"/>
      <name val="나눔명조"/>
      <family val="3"/>
      <charset val="129"/>
    </font>
    <font>
      <sz val="10"/>
      <color rgb="FF0000FF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E4DFEC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7F6000"/>
        <bgColor rgb="FF595959"/>
      </patternFill>
    </fill>
    <fill>
      <patternFill patternType="solid">
        <fgColor rgb="FFD9D9D9"/>
        <bgColor rgb="FFE4DFE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0" borderId="0" xfId="0" applyFont="1"/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5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76" fontId="8" fillId="7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76" fontId="8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76" fontId="8" fillId="8" borderId="2" xfId="0" applyNumberFormat="1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176" fontId="8" fillId="8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76" fontId="8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76" fontId="8" fillId="10" borderId="2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/>
    <xf numFmtId="0" fontId="7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76" fontId="8" fillId="10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7" fontId="18" fillId="5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1" fontId="18" fillId="5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77" fontId="12" fillId="5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7" fontId="12" fillId="5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0" borderId="0" xfId="0" applyFont="1"/>
    <xf numFmtId="0" fontId="7" fillId="12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77" fontId="8" fillId="10" borderId="1" xfId="0" applyNumberFormat="1" applyFont="1" applyFill="1" applyBorder="1" applyAlignment="1">
      <alignment horizontal="center" vertical="center" wrapText="1"/>
    </xf>
    <xf numFmtId="2" fontId="8" fillId="10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4" fillId="0" borderId="0" xfId="0" applyFont="1"/>
    <xf numFmtId="1" fontId="20" fillId="5" borderId="1" xfId="0" applyNumberFormat="1" applyFont="1" applyFill="1" applyBorder="1" applyAlignment="1">
      <alignment horizontal="center" vertical="center" wrapText="1"/>
    </xf>
    <xf numFmtId="2" fontId="20" fillId="5" borderId="1" xfId="0" applyNumberFormat="1" applyFont="1" applyFill="1" applyBorder="1" applyAlignment="1">
      <alignment horizontal="center" vertical="center" wrapText="1"/>
    </xf>
    <xf numFmtId="1" fontId="20" fillId="5" borderId="3" xfId="0" applyNumberFormat="1" applyFont="1" applyFill="1" applyBorder="1" applyAlignment="1">
      <alignment horizontal="center" vertical="center" wrapText="1"/>
    </xf>
    <xf numFmtId="2" fontId="20" fillId="5" borderId="3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13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4DFEC"/>
      <rgbColor rgb="FFEDEDED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53"/>
  <sheetViews>
    <sheetView showGridLines="0" zoomScaleNormal="100" workbookViewId="0"/>
  </sheetViews>
  <sheetFormatPr defaultColWidth="8.7109375" defaultRowHeight="15"/>
  <cols>
    <col min="1" max="1" width="3" customWidth="1"/>
    <col min="2" max="2" width="30" customWidth="1"/>
    <col min="3" max="3" width="26" customWidth="1"/>
    <col min="4" max="4" width="22" customWidth="1"/>
    <col min="5" max="5" width="20" customWidth="1"/>
    <col min="6" max="6" width="52" customWidth="1"/>
  </cols>
  <sheetData>
    <row r="2" spans="2:6" ht="20.25">
      <c r="B2" s="3" t="s">
        <v>0</v>
      </c>
    </row>
    <row r="3" spans="2:6" ht="31.5" customHeight="1">
      <c r="B3" s="109" t="s">
        <v>1</v>
      </c>
      <c r="C3" s="109"/>
      <c r="D3" s="109"/>
      <c r="E3" s="109"/>
      <c r="F3" s="109"/>
    </row>
    <row r="5" spans="2:6">
      <c r="B5" s="4" t="s">
        <v>2</v>
      </c>
    </row>
    <row r="6" spans="2:6" ht="21.75" customHeight="1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  <row r="7" spans="2:6" ht="43.5" customHeight="1">
      <c r="B7" s="6" t="s">
        <v>8</v>
      </c>
      <c r="C7" s="7" t="s">
        <v>9</v>
      </c>
      <c r="D7" s="7" t="s">
        <v>10</v>
      </c>
      <c r="E7" s="7" t="s">
        <v>11</v>
      </c>
      <c r="F7" s="8" t="s">
        <v>12</v>
      </c>
    </row>
    <row r="8" spans="2:6" ht="43.5" customHeight="1">
      <c r="B8" s="6" t="s">
        <v>13</v>
      </c>
      <c r="C8" s="7" t="s">
        <v>14</v>
      </c>
      <c r="D8" s="7" t="s">
        <v>15</v>
      </c>
      <c r="E8" s="7" t="s">
        <v>16</v>
      </c>
      <c r="F8" s="8" t="s">
        <v>17</v>
      </c>
    </row>
    <row r="9" spans="2:6" ht="43.5" customHeight="1">
      <c r="B9" s="6" t="s">
        <v>18</v>
      </c>
      <c r="C9" s="7" t="s">
        <v>19</v>
      </c>
      <c r="D9" s="7" t="s">
        <v>10</v>
      </c>
      <c r="E9" s="7" t="s">
        <v>11</v>
      </c>
      <c r="F9" s="8" t="s">
        <v>20</v>
      </c>
    </row>
    <row r="11" spans="2:6">
      <c r="B11" s="4" t="s">
        <v>21</v>
      </c>
    </row>
    <row r="12" spans="2:6" ht="21.75" customHeight="1">
      <c r="B12" s="5" t="s">
        <v>22</v>
      </c>
      <c r="C12" s="5" t="s">
        <v>23</v>
      </c>
      <c r="D12" s="5" t="s">
        <v>24</v>
      </c>
      <c r="E12" s="110"/>
      <c r="F12" s="110"/>
    </row>
    <row r="13" spans="2:6" ht="19.5" customHeight="1">
      <c r="B13" s="9" t="s">
        <v>25</v>
      </c>
      <c r="C13" s="10" t="s">
        <v>26</v>
      </c>
      <c r="D13" s="11" t="s">
        <v>27</v>
      </c>
      <c r="E13" s="111" t="s">
        <v>28</v>
      </c>
      <c r="F13" s="111"/>
    </row>
    <row r="14" spans="2:6" ht="19.5" customHeight="1">
      <c r="B14" s="9" t="s">
        <v>29</v>
      </c>
      <c r="C14" s="10">
        <v>6</v>
      </c>
      <c r="D14" s="11" t="s">
        <v>30</v>
      </c>
      <c r="E14" s="111"/>
      <c r="F14" s="111"/>
    </row>
    <row r="15" spans="2:6" ht="19.5" customHeight="1">
      <c r="B15" s="9" t="s">
        <v>31</v>
      </c>
      <c r="C15" s="10">
        <v>86</v>
      </c>
      <c r="D15" s="11" t="s">
        <v>32</v>
      </c>
      <c r="E15" s="111"/>
      <c r="F15" s="111"/>
    </row>
    <row r="16" spans="2:6" ht="19.5" customHeight="1">
      <c r="B16" s="12" t="s">
        <v>33</v>
      </c>
      <c r="C16" s="10">
        <v>36</v>
      </c>
      <c r="D16" s="11" t="s">
        <v>32</v>
      </c>
      <c r="E16" s="111" t="s">
        <v>34</v>
      </c>
      <c r="F16" s="111"/>
    </row>
    <row r="17" spans="2:6" ht="19.5" customHeight="1">
      <c r="B17" s="9" t="s">
        <v>35</v>
      </c>
      <c r="C17" s="10">
        <v>60</v>
      </c>
      <c r="D17" s="11" t="s">
        <v>30</v>
      </c>
      <c r="E17" s="111"/>
      <c r="F17" s="111"/>
    </row>
    <row r="18" spans="2:6" ht="19.5" customHeight="1">
      <c r="B18" s="9" t="s">
        <v>36</v>
      </c>
      <c r="C18" s="10">
        <v>210</v>
      </c>
      <c r="D18" s="11" t="s">
        <v>37</v>
      </c>
      <c r="E18" s="111" t="s">
        <v>38</v>
      </c>
      <c r="F18" s="111"/>
    </row>
    <row r="19" spans="2:6" ht="19.5" customHeight="1">
      <c r="B19" s="9" t="s">
        <v>39</v>
      </c>
      <c r="C19" s="10">
        <v>215</v>
      </c>
      <c r="D19" s="11" t="s">
        <v>37</v>
      </c>
      <c r="E19" s="111"/>
      <c r="F19" s="111"/>
    </row>
    <row r="20" spans="2:6">
      <c r="B20" s="13" t="s">
        <v>40</v>
      </c>
    </row>
    <row r="22" spans="2:6">
      <c r="B22" s="4" t="s">
        <v>41</v>
      </c>
    </row>
    <row r="23" spans="2:6" ht="21.75" customHeight="1">
      <c r="B23" s="5" t="s">
        <v>42</v>
      </c>
      <c r="C23" s="5" t="s">
        <v>43</v>
      </c>
      <c r="D23" s="5" t="s">
        <v>44</v>
      </c>
      <c r="E23" s="5" t="s">
        <v>45</v>
      </c>
      <c r="F23" s="5" t="s">
        <v>7</v>
      </c>
    </row>
    <row r="24" spans="2:6" ht="43.5" customHeight="1">
      <c r="B24" s="14" t="s">
        <v>46</v>
      </c>
      <c r="C24" s="7" t="s">
        <v>47</v>
      </c>
      <c r="D24" s="15" t="s">
        <v>48</v>
      </c>
      <c r="E24" s="15" t="s">
        <v>49</v>
      </c>
      <c r="F24" s="16" t="s">
        <v>50</v>
      </c>
    </row>
    <row r="25" spans="2:6" ht="30" customHeight="1">
      <c r="B25" s="14" t="s">
        <v>51</v>
      </c>
      <c r="C25" s="7" t="s">
        <v>52</v>
      </c>
      <c r="D25" s="15" t="s">
        <v>53</v>
      </c>
      <c r="E25" s="15" t="s">
        <v>49</v>
      </c>
      <c r="F25" s="8" t="s">
        <v>54</v>
      </c>
    </row>
    <row r="26" spans="2:6" ht="30" customHeight="1">
      <c r="B26" s="14" t="s">
        <v>55</v>
      </c>
      <c r="C26" s="15" t="s">
        <v>56</v>
      </c>
      <c r="D26" s="15" t="s">
        <v>57</v>
      </c>
      <c r="E26" s="15" t="s">
        <v>58</v>
      </c>
      <c r="F26" s="8" t="s">
        <v>59</v>
      </c>
    </row>
    <row r="27" spans="2:6" ht="30" customHeight="1">
      <c r="B27" s="14" t="s">
        <v>60</v>
      </c>
      <c r="C27" s="15" t="s">
        <v>56</v>
      </c>
      <c r="D27" s="15" t="s">
        <v>61</v>
      </c>
      <c r="E27" s="15" t="s">
        <v>58</v>
      </c>
      <c r="F27" s="8" t="s">
        <v>59</v>
      </c>
    </row>
    <row r="28" spans="2:6" ht="30" customHeight="1">
      <c r="B28" s="14" t="s">
        <v>62</v>
      </c>
      <c r="C28" s="7" t="s">
        <v>63</v>
      </c>
      <c r="D28" s="15" t="s">
        <v>57</v>
      </c>
      <c r="E28" s="15" t="s">
        <v>49</v>
      </c>
      <c r="F28" s="8" t="s">
        <v>64</v>
      </c>
    </row>
    <row r="30" spans="2:6">
      <c r="B30" s="4" t="s">
        <v>65</v>
      </c>
    </row>
    <row r="31" spans="2:6" ht="21.75" customHeight="1">
      <c r="B31" s="5" t="s">
        <v>66</v>
      </c>
      <c r="C31" s="5" t="s">
        <v>67</v>
      </c>
      <c r="D31" s="5" t="s">
        <v>68</v>
      </c>
      <c r="E31" s="5" t="s">
        <v>69</v>
      </c>
      <c r="F31" s="5" t="s">
        <v>70</v>
      </c>
    </row>
    <row r="32" spans="2:6" ht="84" customHeight="1">
      <c r="B32" s="14" t="s">
        <v>71</v>
      </c>
      <c r="C32" s="8" t="s">
        <v>72</v>
      </c>
      <c r="D32" s="7">
        <v>16</v>
      </c>
      <c r="E32" s="15" t="s">
        <v>73</v>
      </c>
      <c r="F32" s="16" t="s">
        <v>74</v>
      </c>
    </row>
    <row r="33" spans="2:6" ht="84" customHeight="1">
      <c r="B33" s="14" t="s">
        <v>75</v>
      </c>
      <c r="C33" s="8" t="s">
        <v>76</v>
      </c>
      <c r="D33" s="7">
        <v>4</v>
      </c>
      <c r="E33" s="15" t="s">
        <v>73</v>
      </c>
      <c r="F33" s="8" t="s">
        <v>77</v>
      </c>
    </row>
    <row r="34" spans="2:6" ht="84" customHeight="1">
      <c r="B34" s="14" t="s">
        <v>78</v>
      </c>
      <c r="C34" s="8" t="s">
        <v>79</v>
      </c>
      <c r="D34" s="7">
        <v>4</v>
      </c>
      <c r="E34" s="15" t="s">
        <v>80</v>
      </c>
      <c r="F34" s="8" t="s">
        <v>81</v>
      </c>
    </row>
    <row r="35" spans="2:6" ht="24" customHeight="1">
      <c r="B35" s="9" t="s">
        <v>82</v>
      </c>
      <c r="C35" s="9" t="s">
        <v>83</v>
      </c>
      <c r="D35" s="17" t="s">
        <v>84</v>
      </c>
      <c r="E35" s="18" t="s">
        <v>85</v>
      </c>
      <c r="F35" s="9" t="s">
        <v>86</v>
      </c>
    </row>
    <row r="37" spans="2:6">
      <c r="B37" s="4" t="s">
        <v>87</v>
      </c>
    </row>
    <row r="38" spans="2:6" ht="21.75" customHeight="1">
      <c r="B38" s="5" t="s">
        <v>88</v>
      </c>
      <c r="C38" s="5" t="s">
        <v>89</v>
      </c>
      <c r="D38" s="5" t="s">
        <v>90</v>
      </c>
      <c r="E38" s="5" t="s">
        <v>91</v>
      </c>
      <c r="F38" s="5" t="s">
        <v>92</v>
      </c>
    </row>
    <row r="39" spans="2:6" ht="21.75" customHeight="1">
      <c r="B39" s="14" t="s">
        <v>93</v>
      </c>
      <c r="C39" s="19">
        <v>20</v>
      </c>
      <c r="D39" s="19">
        <v>20</v>
      </c>
      <c r="E39" s="20">
        <f>IF(C39=0,"",1-D39/C39)</f>
        <v>0</v>
      </c>
      <c r="F39" s="8" t="s">
        <v>94</v>
      </c>
    </row>
    <row r="40" spans="2:6" ht="21.75" customHeight="1">
      <c r="B40" s="14" t="s">
        <v>95</v>
      </c>
      <c r="C40" s="19">
        <v>40</v>
      </c>
      <c r="D40" s="19">
        <v>24</v>
      </c>
      <c r="E40" s="20">
        <f>IF(C40=0,"",1-D40/C40)</f>
        <v>0.4</v>
      </c>
      <c r="F40" s="8" t="s">
        <v>96</v>
      </c>
    </row>
    <row r="41" spans="2:6" ht="21.75" customHeight="1">
      <c r="B41" s="14" t="s">
        <v>97</v>
      </c>
      <c r="C41" s="19">
        <v>120</v>
      </c>
      <c r="D41" s="19">
        <v>72</v>
      </c>
      <c r="E41" s="20">
        <f>IF(C41=0,"",1-D41/C41)</f>
        <v>0.4</v>
      </c>
      <c r="F41" s="8" t="s">
        <v>98</v>
      </c>
    </row>
    <row r="42" spans="2:6" ht="21.75" customHeight="1">
      <c r="B42" s="14" t="s">
        <v>99</v>
      </c>
      <c r="C42" s="19">
        <v>40</v>
      </c>
      <c r="D42" s="19">
        <v>24</v>
      </c>
      <c r="E42" s="20">
        <f>IF(C42=0,"",1-D42/C42)</f>
        <v>0.4</v>
      </c>
      <c r="F42" s="8" t="s">
        <v>100</v>
      </c>
    </row>
    <row r="43" spans="2:6">
      <c r="B43" s="13" t="s">
        <v>101</v>
      </c>
    </row>
    <row r="45" spans="2:6">
      <c r="B45" s="4" t="s">
        <v>102</v>
      </c>
    </row>
    <row r="46" spans="2:6" ht="60" customHeight="1">
      <c r="B46" s="112" t="s">
        <v>103</v>
      </c>
      <c r="C46" s="112"/>
      <c r="D46" s="112"/>
      <c r="E46" s="112"/>
      <c r="F46" s="112"/>
    </row>
    <row r="47" spans="2:6" ht="60" customHeight="1">
      <c r="B47" s="112" t="s">
        <v>104</v>
      </c>
      <c r="C47" s="112"/>
      <c r="D47" s="112"/>
      <c r="E47" s="112"/>
      <c r="F47" s="112"/>
    </row>
    <row r="48" spans="2:6" ht="45.75" customHeight="1">
      <c r="B48" s="112" t="s">
        <v>105</v>
      </c>
      <c r="C48" s="112"/>
      <c r="D48" s="112"/>
      <c r="E48" s="112"/>
      <c r="F48" s="112"/>
    </row>
    <row r="49" spans="2:6" ht="45.75" customHeight="1">
      <c r="B49" s="112" t="s">
        <v>106</v>
      </c>
      <c r="C49" s="112"/>
      <c r="D49" s="112"/>
      <c r="E49" s="112"/>
      <c r="F49" s="112"/>
    </row>
    <row r="50" spans="2:6" ht="60" customHeight="1">
      <c r="B50" s="112" t="s">
        <v>107</v>
      </c>
      <c r="C50" s="112"/>
      <c r="D50" s="112"/>
      <c r="E50" s="112"/>
      <c r="F50" s="112"/>
    </row>
    <row r="51" spans="2:6" ht="45.75" customHeight="1">
      <c r="B51" s="112" t="s">
        <v>108</v>
      </c>
      <c r="C51" s="112"/>
      <c r="D51" s="112"/>
      <c r="E51" s="112"/>
      <c r="F51" s="112"/>
    </row>
    <row r="52" spans="2:6" ht="45.75" customHeight="1">
      <c r="B52" s="112" t="s">
        <v>109</v>
      </c>
      <c r="C52" s="112"/>
      <c r="D52" s="112"/>
      <c r="E52" s="112"/>
      <c r="F52" s="112"/>
    </row>
    <row r="53" spans="2:6" ht="45.75" customHeight="1">
      <c r="B53" s="112" t="s">
        <v>110</v>
      </c>
      <c r="C53" s="112"/>
      <c r="D53" s="112"/>
      <c r="E53" s="112"/>
      <c r="F53" s="112"/>
    </row>
  </sheetData>
  <mergeCells count="17">
    <mergeCell ref="B52:F52"/>
    <mergeCell ref="B53:F53"/>
    <mergeCell ref="B47:F47"/>
    <mergeCell ref="B48:F48"/>
    <mergeCell ref="B49:F49"/>
    <mergeCell ref="B50:F50"/>
    <mergeCell ref="B51:F51"/>
    <mergeCell ref="E16:F16"/>
    <mergeCell ref="E17:F17"/>
    <mergeCell ref="E18:F18"/>
    <mergeCell ref="E19:F19"/>
    <mergeCell ref="B46:F46"/>
    <mergeCell ref="B3:F3"/>
    <mergeCell ref="E12:F12"/>
    <mergeCell ref="E13:F13"/>
    <mergeCell ref="E14:F14"/>
    <mergeCell ref="E15:F15"/>
  </mergeCells>
  <phoneticPr fontId="19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2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7109375" defaultRowHeight="15"/>
  <cols>
    <col min="1" max="2" width="7" customWidth="1"/>
    <col min="3" max="3" width="8" customWidth="1"/>
    <col min="4" max="4" width="12" customWidth="1"/>
    <col min="5" max="5" width="10" customWidth="1"/>
    <col min="6" max="6" width="9" customWidth="1"/>
    <col min="7" max="7" width="10" customWidth="1"/>
    <col min="8" max="8" width="7" customWidth="1"/>
    <col min="9" max="9" width="6" customWidth="1"/>
    <col min="10" max="10" width="7" customWidth="1"/>
    <col min="11" max="12" width="11" customWidth="1"/>
    <col min="13" max="13" width="9" customWidth="1"/>
    <col min="14" max="15" width="12" customWidth="1"/>
    <col min="16" max="16" width="36" customWidth="1"/>
  </cols>
  <sheetData>
    <row r="1" spans="1:16" ht="20.25">
      <c r="A1" s="3" t="s">
        <v>111</v>
      </c>
    </row>
    <row r="2" spans="1:16">
      <c r="A2" s="21" t="s">
        <v>112</v>
      </c>
    </row>
    <row r="3" spans="1:16">
      <c r="A3" s="22" t="s">
        <v>113</v>
      </c>
    </row>
    <row r="5" spans="1:16" ht="36" customHeight="1">
      <c r="A5" s="5" t="s">
        <v>114</v>
      </c>
      <c r="B5" s="5" t="s">
        <v>115</v>
      </c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2" t="s">
        <v>121</v>
      </c>
      <c r="I5" s="2" t="s">
        <v>122</v>
      </c>
      <c r="J5" s="2" t="s">
        <v>123</v>
      </c>
      <c r="K5" s="5" t="s">
        <v>124</v>
      </c>
      <c r="L5" s="5" t="s">
        <v>125</v>
      </c>
      <c r="M5" s="5" t="s">
        <v>126</v>
      </c>
      <c r="N5" s="5" t="s">
        <v>127</v>
      </c>
      <c r="O5" s="5" t="s">
        <v>128</v>
      </c>
      <c r="P5" s="5" t="s">
        <v>7</v>
      </c>
    </row>
    <row r="6" spans="1:16" ht="18" customHeight="1">
      <c r="A6" s="23">
        <v>1</v>
      </c>
      <c r="B6" s="23">
        <v>1</v>
      </c>
      <c r="C6" s="23">
        <v>1</v>
      </c>
      <c r="D6" s="24" t="s">
        <v>129</v>
      </c>
      <c r="E6" s="23">
        <v>210</v>
      </c>
      <c r="F6" s="23">
        <v>60</v>
      </c>
      <c r="G6" s="23">
        <v>20</v>
      </c>
      <c r="H6" s="25">
        <v>-1</v>
      </c>
      <c r="I6" s="25">
        <v>1</v>
      </c>
      <c r="J6" s="25">
        <v>-1</v>
      </c>
      <c r="K6" s="23" t="s">
        <v>130</v>
      </c>
      <c r="L6" s="26" t="s">
        <v>130</v>
      </c>
      <c r="M6" s="26" t="s">
        <v>131</v>
      </c>
      <c r="N6" s="27"/>
      <c r="O6" s="27"/>
      <c r="P6" s="28" t="s">
        <v>132</v>
      </c>
    </row>
    <row r="7" spans="1:16" ht="18" customHeight="1">
      <c r="A7" s="29">
        <v>2</v>
      </c>
      <c r="B7" s="29">
        <v>2</v>
      </c>
      <c r="C7" s="29">
        <v>1</v>
      </c>
      <c r="D7" s="30" t="s">
        <v>129</v>
      </c>
      <c r="E7" s="29">
        <v>210</v>
      </c>
      <c r="F7" s="29">
        <v>60</v>
      </c>
      <c r="G7" s="29">
        <v>40</v>
      </c>
      <c r="H7" s="31">
        <v>-1</v>
      </c>
      <c r="I7" s="31">
        <v>1</v>
      </c>
      <c r="J7" s="31">
        <v>-0.33329999999999999</v>
      </c>
      <c r="K7" s="29" t="s">
        <v>130</v>
      </c>
      <c r="L7" s="29" t="s">
        <v>133</v>
      </c>
      <c r="M7" s="29" t="s">
        <v>133</v>
      </c>
      <c r="N7" s="27"/>
      <c r="O7" s="27"/>
      <c r="P7" s="32"/>
    </row>
    <row r="8" spans="1:16" ht="18" customHeight="1">
      <c r="A8" s="29">
        <v>3</v>
      </c>
      <c r="B8" s="29">
        <v>3</v>
      </c>
      <c r="C8" s="29">
        <v>1</v>
      </c>
      <c r="D8" s="30" t="s">
        <v>129</v>
      </c>
      <c r="E8" s="29">
        <v>210</v>
      </c>
      <c r="F8" s="29">
        <v>60</v>
      </c>
      <c r="G8" s="29">
        <v>60</v>
      </c>
      <c r="H8" s="31">
        <v>-1</v>
      </c>
      <c r="I8" s="31">
        <v>1</v>
      </c>
      <c r="J8" s="31">
        <v>0.33329999999999999</v>
      </c>
      <c r="K8" s="29" t="s">
        <v>130</v>
      </c>
      <c r="L8" s="29" t="s">
        <v>133</v>
      </c>
      <c r="M8" s="29" t="s">
        <v>133</v>
      </c>
      <c r="N8" s="27"/>
      <c r="O8" s="27"/>
      <c r="P8" s="32"/>
    </row>
    <row r="9" spans="1:16" ht="18" customHeight="1">
      <c r="A9" s="23">
        <v>4</v>
      </c>
      <c r="B9" s="23">
        <v>4</v>
      </c>
      <c r="C9" s="23">
        <v>1</v>
      </c>
      <c r="D9" s="24" t="s">
        <v>129</v>
      </c>
      <c r="E9" s="23">
        <v>210</v>
      </c>
      <c r="F9" s="23">
        <v>60</v>
      </c>
      <c r="G9" s="23">
        <v>80</v>
      </c>
      <c r="H9" s="25">
        <v>-1</v>
      </c>
      <c r="I9" s="25">
        <v>1</v>
      </c>
      <c r="J9" s="25">
        <v>1</v>
      </c>
      <c r="K9" s="23" t="s">
        <v>130</v>
      </c>
      <c r="L9" s="26" t="s">
        <v>130</v>
      </c>
      <c r="M9" s="26" t="s">
        <v>134</v>
      </c>
      <c r="N9" s="27"/>
      <c r="O9" s="27"/>
      <c r="P9" s="28" t="s">
        <v>135</v>
      </c>
    </row>
    <row r="10" spans="1:16" ht="18" customHeight="1">
      <c r="A10" s="33">
        <v>5</v>
      </c>
      <c r="B10" s="33">
        <v>6</v>
      </c>
      <c r="C10" s="33">
        <v>2</v>
      </c>
      <c r="D10" s="34" t="s">
        <v>129</v>
      </c>
      <c r="E10" s="33">
        <v>223</v>
      </c>
      <c r="F10" s="33">
        <v>60</v>
      </c>
      <c r="G10" s="33">
        <v>40</v>
      </c>
      <c r="H10" s="35">
        <v>-0.33329999999999999</v>
      </c>
      <c r="I10" s="35">
        <v>1</v>
      </c>
      <c r="J10" s="35">
        <v>-0.33329999999999999</v>
      </c>
      <c r="K10" s="33" t="s">
        <v>130</v>
      </c>
      <c r="L10" s="33" t="s">
        <v>133</v>
      </c>
      <c r="M10" s="33" t="s">
        <v>133</v>
      </c>
      <c r="N10" s="36"/>
      <c r="O10" s="36"/>
      <c r="P10" s="37"/>
    </row>
    <row r="11" spans="1:16" ht="18" customHeight="1">
      <c r="A11" s="38">
        <v>6</v>
      </c>
      <c r="B11" s="38">
        <v>5</v>
      </c>
      <c r="C11" s="38">
        <v>2</v>
      </c>
      <c r="D11" s="39" t="s">
        <v>129</v>
      </c>
      <c r="E11" s="38">
        <v>223</v>
      </c>
      <c r="F11" s="38">
        <v>60</v>
      </c>
      <c r="G11" s="38">
        <v>20</v>
      </c>
      <c r="H11" s="40">
        <v>-0.33329999999999999</v>
      </c>
      <c r="I11" s="40">
        <v>1</v>
      </c>
      <c r="J11" s="40">
        <v>-1</v>
      </c>
      <c r="K11" s="38" t="s">
        <v>130</v>
      </c>
      <c r="L11" s="38" t="s">
        <v>133</v>
      </c>
      <c r="M11" s="38" t="s">
        <v>133</v>
      </c>
      <c r="N11" s="27"/>
      <c r="O11" s="27"/>
      <c r="P11" s="41"/>
    </row>
    <row r="12" spans="1:16" ht="18" customHeight="1">
      <c r="A12" s="38">
        <v>7</v>
      </c>
      <c r="B12" s="38">
        <v>8</v>
      </c>
      <c r="C12" s="38">
        <v>2</v>
      </c>
      <c r="D12" s="39" t="s">
        <v>129</v>
      </c>
      <c r="E12" s="38">
        <v>223</v>
      </c>
      <c r="F12" s="38">
        <v>60</v>
      </c>
      <c r="G12" s="38">
        <v>80</v>
      </c>
      <c r="H12" s="40">
        <v>-0.33329999999999999</v>
      </c>
      <c r="I12" s="40">
        <v>1</v>
      </c>
      <c r="J12" s="40">
        <v>1</v>
      </c>
      <c r="K12" s="38" t="s">
        <v>130</v>
      </c>
      <c r="L12" s="38" t="s">
        <v>133</v>
      </c>
      <c r="M12" s="38" t="s">
        <v>133</v>
      </c>
      <c r="N12" s="27"/>
      <c r="O12" s="27"/>
      <c r="P12" s="41"/>
    </row>
    <row r="13" spans="1:16" ht="18" customHeight="1">
      <c r="A13" s="38">
        <v>8</v>
      </c>
      <c r="B13" s="38">
        <v>7</v>
      </c>
      <c r="C13" s="38">
        <v>2</v>
      </c>
      <c r="D13" s="39" t="s">
        <v>129</v>
      </c>
      <c r="E13" s="38">
        <v>223</v>
      </c>
      <c r="F13" s="38">
        <v>60</v>
      </c>
      <c r="G13" s="38">
        <v>60</v>
      </c>
      <c r="H13" s="40">
        <v>-0.33329999999999999</v>
      </c>
      <c r="I13" s="40">
        <v>1</v>
      </c>
      <c r="J13" s="40">
        <v>0.33329999999999999</v>
      </c>
      <c r="K13" s="38" t="s">
        <v>130</v>
      </c>
      <c r="L13" s="38" t="s">
        <v>133</v>
      </c>
      <c r="M13" s="38" t="s">
        <v>133</v>
      </c>
      <c r="N13" s="27"/>
      <c r="O13" s="27"/>
      <c r="P13" s="41"/>
    </row>
    <row r="14" spans="1:16" ht="18" customHeight="1">
      <c r="A14" s="42">
        <v>9</v>
      </c>
      <c r="B14" s="42">
        <v>9</v>
      </c>
      <c r="C14" s="42">
        <v>3</v>
      </c>
      <c r="D14" s="43" t="s">
        <v>129</v>
      </c>
      <c r="E14" s="42">
        <v>237</v>
      </c>
      <c r="F14" s="42">
        <v>60</v>
      </c>
      <c r="G14" s="42">
        <v>20</v>
      </c>
      <c r="H14" s="44">
        <v>0.33329999999999999</v>
      </c>
      <c r="I14" s="44">
        <v>1</v>
      </c>
      <c r="J14" s="44">
        <v>-1</v>
      </c>
      <c r="K14" s="42" t="s">
        <v>130</v>
      </c>
      <c r="L14" s="42" t="s">
        <v>133</v>
      </c>
      <c r="M14" s="42" t="s">
        <v>133</v>
      </c>
      <c r="N14" s="36"/>
      <c r="O14" s="36"/>
      <c r="P14" s="45"/>
    </row>
    <row r="15" spans="1:16" ht="18" customHeight="1">
      <c r="A15" s="46">
        <v>10</v>
      </c>
      <c r="B15" s="46">
        <v>10</v>
      </c>
      <c r="C15" s="46">
        <v>3</v>
      </c>
      <c r="D15" s="47" t="s">
        <v>129</v>
      </c>
      <c r="E15" s="46">
        <v>237</v>
      </c>
      <c r="F15" s="46">
        <v>60</v>
      </c>
      <c r="G15" s="46">
        <v>40</v>
      </c>
      <c r="H15" s="48">
        <v>0.33329999999999999</v>
      </c>
      <c r="I15" s="48">
        <v>1</v>
      </c>
      <c r="J15" s="48">
        <v>-0.33329999999999999</v>
      </c>
      <c r="K15" s="46" t="s">
        <v>130</v>
      </c>
      <c r="L15" s="46" t="s">
        <v>133</v>
      </c>
      <c r="M15" s="46" t="s">
        <v>133</v>
      </c>
      <c r="N15" s="27"/>
      <c r="O15" s="27"/>
      <c r="P15" s="49"/>
    </row>
    <row r="16" spans="1:16" ht="18" customHeight="1">
      <c r="A16" s="46">
        <v>11</v>
      </c>
      <c r="B16" s="46">
        <v>12</v>
      </c>
      <c r="C16" s="46">
        <v>3</v>
      </c>
      <c r="D16" s="47" t="s">
        <v>129</v>
      </c>
      <c r="E16" s="46">
        <v>237</v>
      </c>
      <c r="F16" s="46">
        <v>60</v>
      </c>
      <c r="G16" s="46">
        <v>80</v>
      </c>
      <c r="H16" s="48">
        <v>0.33329999999999999</v>
      </c>
      <c r="I16" s="48">
        <v>1</v>
      </c>
      <c r="J16" s="48">
        <v>1</v>
      </c>
      <c r="K16" s="46" t="s">
        <v>130</v>
      </c>
      <c r="L16" s="46" t="s">
        <v>133</v>
      </c>
      <c r="M16" s="46" t="s">
        <v>133</v>
      </c>
      <c r="N16" s="27"/>
      <c r="O16" s="27"/>
      <c r="P16" s="49"/>
    </row>
    <row r="17" spans="1:16" ht="18" customHeight="1">
      <c r="A17" s="46">
        <v>12</v>
      </c>
      <c r="B17" s="46">
        <v>11</v>
      </c>
      <c r="C17" s="46">
        <v>3</v>
      </c>
      <c r="D17" s="47" t="s">
        <v>129</v>
      </c>
      <c r="E17" s="46">
        <v>237</v>
      </c>
      <c r="F17" s="46">
        <v>60</v>
      </c>
      <c r="G17" s="46">
        <v>60</v>
      </c>
      <c r="H17" s="48">
        <v>0.33329999999999999</v>
      </c>
      <c r="I17" s="48">
        <v>1</v>
      </c>
      <c r="J17" s="48">
        <v>0.33329999999999999</v>
      </c>
      <c r="K17" s="46" t="s">
        <v>130</v>
      </c>
      <c r="L17" s="46" t="s">
        <v>133</v>
      </c>
      <c r="M17" s="46" t="s">
        <v>133</v>
      </c>
      <c r="N17" s="27"/>
      <c r="O17" s="27"/>
      <c r="P17" s="49"/>
    </row>
    <row r="18" spans="1:16" ht="18" customHeight="1">
      <c r="A18" s="50">
        <v>13</v>
      </c>
      <c r="B18" s="50">
        <v>13</v>
      </c>
      <c r="C18" s="50">
        <v>4</v>
      </c>
      <c r="D18" s="51" t="s">
        <v>129</v>
      </c>
      <c r="E18" s="50">
        <v>250</v>
      </c>
      <c r="F18" s="50">
        <v>60</v>
      </c>
      <c r="G18" s="50">
        <v>20</v>
      </c>
      <c r="H18" s="52">
        <v>1</v>
      </c>
      <c r="I18" s="52">
        <v>1</v>
      </c>
      <c r="J18" s="52">
        <v>-1</v>
      </c>
      <c r="K18" s="50" t="s">
        <v>130</v>
      </c>
      <c r="L18" s="53" t="s">
        <v>130</v>
      </c>
      <c r="M18" s="53" t="s">
        <v>136</v>
      </c>
      <c r="N18" s="36"/>
      <c r="O18" s="36"/>
      <c r="P18" s="54" t="s">
        <v>137</v>
      </c>
    </row>
    <row r="19" spans="1:16" ht="18" customHeight="1">
      <c r="A19" s="23">
        <v>14</v>
      </c>
      <c r="B19" s="23">
        <v>16</v>
      </c>
      <c r="C19" s="23">
        <v>4</v>
      </c>
      <c r="D19" s="24" t="s">
        <v>129</v>
      </c>
      <c r="E19" s="23">
        <v>250</v>
      </c>
      <c r="F19" s="23">
        <v>60</v>
      </c>
      <c r="G19" s="23">
        <v>80</v>
      </c>
      <c r="H19" s="25">
        <v>1</v>
      </c>
      <c r="I19" s="25">
        <v>1</v>
      </c>
      <c r="J19" s="25">
        <v>1</v>
      </c>
      <c r="K19" s="23" t="s">
        <v>130</v>
      </c>
      <c r="L19" s="26" t="s">
        <v>130</v>
      </c>
      <c r="M19" s="26" t="s">
        <v>138</v>
      </c>
      <c r="N19" s="27"/>
      <c r="O19" s="27"/>
      <c r="P19" s="28" t="s">
        <v>139</v>
      </c>
    </row>
    <row r="20" spans="1:16" ht="18" customHeight="1">
      <c r="A20" s="55">
        <v>15</v>
      </c>
      <c r="B20" s="55">
        <v>15</v>
      </c>
      <c r="C20" s="55">
        <v>4</v>
      </c>
      <c r="D20" s="56" t="s">
        <v>129</v>
      </c>
      <c r="E20" s="55">
        <v>250</v>
      </c>
      <c r="F20" s="55">
        <v>60</v>
      </c>
      <c r="G20" s="55">
        <v>60</v>
      </c>
      <c r="H20" s="57">
        <v>1</v>
      </c>
      <c r="I20" s="57">
        <v>1</v>
      </c>
      <c r="J20" s="57">
        <v>0.33329999999999999</v>
      </c>
      <c r="K20" s="55" t="s">
        <v>130</v>
      </c>
      <c r="L20" s="55" t="s">
        <v>133</v>
      </c>
      <c r="M20" s="55" t="s">
        <v>133</v>
      </c>
      <c r="N20" s="27"/>
      <c r="O20" s="27"/>
      <c r="P20" s="58"/>
    </row>
    <row r="21" spans="1:16" ht="18" customHeight="1">
      <c r="A21" s="55">
        <v>16</v>
      </c>
      <c r="B21" s="55">
        <v>14</v>
      </c>
      <c r="C21" s="55">
        <v>4</v>
      </c>
      <c r="D21" s="56" t="s">
        <v>129</v>
      </c>
      <c r="E21" s="55">
        <v>250</v>
      </c>
      <c r="F21" s="55">
        <v>60</v>
      </c>
      <c r="G21" s="55">
        <v>40</v>
      </c>
      <c r="H21" s="57">
        <v>1</v>
      </c>
      <c r="I21" s="57">
        <v>1</v>
      </c>
      <c r="J21" s="57">
        <v>-0.33329999999999999</v>
      </c>
      <c r="K21" s="55" t="s">
        <v>130</v>
      </c>
      <c r="L21" s="55" t="s">
        <v>133</v>
      </c>
      <c r="M21" s="55" t="s">
        <v>133</v>
      </c>
      <c r="N21" s="27"/>
      <c r="O21" s="27"/>
      <c r="P21" s="58"/>
    </row>
    <row r="22" spans="1:16" ht="18" customHeight="1">
      <c r="A22" s="59">
        <v>17</v>
      </c>
      <c r="B22" s="59">
        <v>20</v>
      </c>
      <c r="C22" s="59">
        <v>4</v>
      </c>
      <c r="D22" s="60" t="s">
        <v>140</v>
      </c>
      <c r="E22" s="59">
        <v>250</v>
      </c>
      <c r="F22" s="59">
        <v>40</v>
      </c>
      <c r="G22" s="59">
        <v>80</v>
      </c>
      <c r="H22" s="61">
        <v>1</v>
      </c>
      <c r="I22" s="61">
        <v>-1</v>
      </c>
      <c r="J22" s="61">
        <v>1</v>
      </c>
      <c r="K22" s="59" t="s">
        <v>130</v>
      </c>
      <c r="L22" s="59" t="s">
        <v>133</v>
      </c>
      <c r="M22" s="59" t="s">
        <v>133</v>
      </c>
      <c r="N22" s="36"/>
      <c r="O22" s="36"/>
      <c r="P22" s="62" t="s">
        <v>141</v>
      </c>
    </row>
    <row r="23" spans="1:16" ht="18" customHeight="1">
      <c r="A23" s="59">
        <v>18</v>
      </c>
      <c r="B23" s="59">
        <v>19</v>
      </c>
      <c r="C23" s="59">
        <v>3</v>
      </c>
      <c r="D23" s="60" t="s">
        <v>140</v>
      </c>
      <c r="E23" s="59">
        <v>237</v>
      </c>
      <c r="F23" s="59">
        <v>40</v>
      </c>
      <c r="G23" s="59">
        <v>80</v>
      </c>
      <c r="H23" s="61">
        <v>0.33329999999999999</v>
      </c>
      <c r="I23" s="61">
        <v>-1</v>
      </c>
      <c r="J23" s="61">
        <v>1</v>
      </c>
      <c r="K23" s="59" t="s">
        <v>130</v>
      </c>
      <c r="L23" s="59" t="s">
        <v>133</v>
      </c>
      <c r="M23" s="59" t="s">
        <v>133</v>
      </c>
      <c r="N23" s="36"/>
      <c r="O23" s="36"/>
      <c r="P23" s="62" t="s">
        <v>142</v>
      </c>
    </row>
    <row r="24" spans="1:16" ht="18" customHeight="1">
      <c r="A24" s="59">
        <v>19</v>
      </c>
      <c r="B24" s="59">
        <v>18</v>
      </c>
      <c r="C24" s="59">
        <v>2</v>
      </c>
      <c r="D24" s="60" t="s">
        <v>140</v>
      </c>
      <c r="E24" s="59">
        <v>223</v>
      </c>
      <c r="F24" s="59">
        <v>40</v>
      </c>
      <c r="G24" s="59">
        <v>80</v>
      </c>
      <c r="H24" s="61">
        <v>-0.33329999999999999</v>
      </c>
      <c r="I24" s="61">
        <v>-1</v>
      </c>
      <c r="J24" s="61">
        <v>1</v>
      </c>
      <c r="K24" s="59" t="s">
        <v>130</v>
      </c>
      <c r="L24" s="59" t="s">
        <v>133</v>
      </c>
      <c r="M24" s="59" t="s">
        <v>133</v>
      </c>
      <c r="N24" s="36"/>
      <c r="O24" s="36"/>
      <c r="P24" s="62" t="s">
        <v>143</v>
      </c>
    </row>
    <row r="25" spans="1:16" ht="18" customHeight="1">
      <c r="A25" s="59">
        <v>20</v>
      </c>
      <c r="B25" s="59">
        <v>17</v>
      </c>
      <c r="C25" s="59">
        <v>1</v>
      </c>
      <c r="D25" s="60" t="s">
        <v>140</v>
      </c>
      <c r="E25" s="59">
        <v>210</v>
      </c>
      <c r="F25" s="59">
        <v>40</v>
      </c>
      <c r="G25" s="59">
        <v>80</v>
      </c>
      <c r="H25" s="61">
        <v>-1</v>
      </c>
      <c r="I25" s="61">
        <v>-1</v>
      </c>
      <c r="J25" s="61">
        <v>1</v>
      </c>
      <c r="K25" s="59" t="s">
        <v>130</v>
      </c>
      <c r="L25" s="59" t="s">
        <v>133</v>
      </c>
      <c r="M25" s="59" t="s">
        <v>133</v>
      </c>
      <c r="N25" s="36"/>
      <c r="O25" s="36"/>
      <c r="P25" s="62" t="s">
        <v>144</v>
      </c>
    </row>
    <row r="27" spans="1:16">
      <c r="A27" s="113" t="s">
        <v>145</v>
      </c>
      <c r="B27" s="113"/>
      <c r="C27" s="113"/>
      <c r="D27" s="113"/>
      <c r="E27" s="63">
        <f>COUNTIF(K6:K25,"O")</f>
        <v>20</v>
      </c>
    </row>
    <row r="28" spans="1:16">
      <c r="A28" s="113" t="s">
        <v>146</v>
      </c>
      <c r="B28" s="113"/>
      <c r="C28" s="113"/>
      <c r="D28" s="113"/>
      <c r="E28" s="63">
        <f>COUNTIF(L6:L25,"O")</f>
        <v>4</v>
      </c>
    </row>
    <row r="29" spans="1:16">
      <c r="A29" s="113" t="s">
        <v>147</v>
      </c>
      <c r="B29" s="113"/>
      <c r="C29" s="113"/>
      <c r="D29" s="113"/>
      <c r="E29" s="63">
        <f>COUNTIF(F6:F25,40)</f>
        <v>4</v>
      </c>
    </row>
    <row r="30" spans="1:16">
      <c r="A30" s="113" t="s">
        <v>148</v>
      </c>
      <c r="B30" s="113"/>
      <c r="C30" s="113"/>
      <c r="D30" s="113"/>
      <c r="E30" s="64">
        <f>E27+E28</f>
        <v>24</v>
      </c>
    </row>
    <row r="32" spans="1:16">
      <c r="A32" s="13" t="s">
        <v>149</v>
      </c>
    </row>
  </sheetData>
  <mergeCells count="4">
    <mergeCell ref="A27:D27"/>
    <mergeCell ref="A28:D28"/>
    <mergeCell ref="A29:D29"/>
    <mergeCell ref="A30:D30"/>
  </mergeCells>
  <phoneticPr fontId="19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9"/>
  <sheetViews>
    <sheetView showGridLines="0" zoomScaleNormal="100" workbookViewId="0"/>
  </sheetViews>
  <sheetFormatPr defaultColWidth="8.7109375" defaultRowHeight="15"/>
  <cols>
    <col min="1" max="1" width="9" customWidth="1"/>
    <col min="2" max="3" width="10" customWidth="1"/>
    <col min="4" max="4" width="11" customWidth="1"/>
    <col min="5" max="6" width="10" customWidth="1"/>
    <col min="7" max="8" width="7" customWidth="1"/>
    <col min="9" max="9" width="10" customWidth="1"/>
    <col min="10" max="10" width="30" customWidth="1"/>
  </cols>
  <sheetData>
    <row r="1" spans="1:10" ht="20.25">
      <c r="A1" s="3" t="s">
        <v>150</v>
      </c>
    </row>
    <row r="2" spans="1:10">
      <c r="A2" s="21" t="s">
        <v>151</v>
      </c>
    </row>
    <row r="4" spans="1:10" ht="36" customHeight="1">
      <c r="A4" s="5" t="s">
        <v>126</v>
      </c>
      <c r="B4" s="5" t="s">
        <v>152</v>
      </c>
      <c r="C4" s="5" t="s">
        <v>153</v>
      </c>
      <c r="D4" s="5" t="s">
        <v>118</v>
      </c>
      <c r="E4" s="5" t="s">
        <v>119</v>
      </c>
      <c r="F4" s="5" t="s">
        <v>120</v>
      </c>
      <c r="G4" s="2" t="s">
        <v>121</v>
      </c>
      <c r="H4" s="2" t="s">
        <v>123</v>
      </c>
      <c r="I4" s="5" t="s">
        <v>154</v>
      </c>
      <c r="J4" s="5" t="s">
        <v>7</v>
      </c>
    </row>
    <row r="5" spans="1:10" ht="18" customHeight="1">
      <c r="A5" s="26" t="s">
        <v>131</v>
      </c>
      <c r="B5" s="23">
        <v>1</v>
      </c>
      <c r="C5" s="23">
        <v>1</v>
      </c>
      <c r="D5" s="23">
        <v>210</v>
      </c>
      <c r="E5" s="23">
        <v>60</v>
      </c>
      <c r="F5" s="23">
        <v>20</v>
      </c>
      <c r="G5" s="25">
        <v>-1</v>
      </c>
      <c r="H5" s="25">
        <v>-1</v>
      </c>
      <c r="I5" s="23">
        <v>1</v>
      </c>
      <c r="J5" s="16" t="s">
        <v>155</v>
      </c>
    </row>
    <row r="6" spans="1:10" ht="18" customHeight="1">
      <c r="A6" s="26" t="s">
        <v>136</v>
      </c>
      <c r="B6" s="23">
        <v>13</v>
      </c>
      <c r="C6" s="23">
        <v>13</v>
      </c>
      <c r="D6" s="23">
        <v>250</v>
      </c>
      <c r="E6" s="23">
        <v>60</v>
      </c>
      <c r="F6" s="23">
        <v>20</v>
      </c>
      <c r="G6" s="25">
        <v>1</v>
      </c>
      <c r="H6" s="25">
        <v>-1</v>
      </c>
      <c r="I6" s="23">
        <v>4</v>
      </c>
      <c r="J6" s="16" t="s">
        <v>156</v>
      </c>
    </row>
    <row r="7" spans="1:10" ht="18" customHeight="1">
      <c r="A7" s="26" t="s">
        <v>134</v>
      </c>
      <c r="B7" s="23">
        <v>4</v>
      </c>
      <c r="C7" s="23">
        <v>4</v>
      </c>
      <c r="D7" s="23">
        <v>210</v>
      </c>
      <c r="E7" s="23">
        <v>60</v>
      </c>
      <c r="F7" s="23">
        <v>80</v>
      </c>
      <c r="G7" s="25">
        <v>-1</v>
      </c>
      <c r="H7" s="25">
        <v>1</v>
      </c>
      <c r="I7" s="23">
        <v>1</v>
      </c>
      <c r="J7" s="16" t="s">
        <v>157</v>
      </c>
    </row>
    <row r="8" spans="1:10" ht="18" customHeight="1">
      <c r="A8" s="26" t="s">
        <v>138</v>
      </c>
      <c r="B8" s="23">
        <v>14</v>
      </c>
      <c r="C8" s="23">
        <v>16</v>
      </c>
      <c r="D8" s="23">
        <v>250</v>
      </c>
      <c r="E8" s="23">
        <v>60</v>
      </c>
      <c r="F8" s="23">
        <v>80</v>
      </c>
      <c r="G8" s="25">
        <v>1</v>
      </c>
      <c r="H8" s="25">
        <v>1</v>
      </c>
      <c r="I8" s="23">
        <v>4</v>
      </c>
      <c r="J8" s="16" t="s">
        <v>158</v>
      </c>
    </row>
    <row r="10" spans="1:10">
      <c r="A10" s="1" t="s">
        <v>159</v>
      </c>
    </row>
    <row r="11" spans="1:10">
      <c r="A11" s="65" t="s">
        <v>160</v>
      </c>
      <c r="B11" s="65">
        <v>210</v>
      </c>
      <c r="C11" s="65">
        <f>COUNTIF(D5:D8,B11)</f>
        <v>2</v>
      </c>
      <c r="D11" s="65">
        <v>250</v>
      </c>
      <c r="E11" s="65">
        <f>COUNTIF(D5:D8,D11)</f>
        <v>2</v>
      </c>
    </row>
    <row r="12" spans="1:10">
      <c r="A12" s="65" t="s">
        <v>161</v>
      </c>
      <c r="B12" s="65">
        <v>20</v>
      </c>
      <c r="C12" s="65">
        <f>COUNTIF(F5:F8,B12)</f>
        <v>2</v>
      </c>
      <c r="D12" s="65">
        <v>80</v>
      </c>
      <c r="E12" s="65">
        <f>COUNTIF(F5:F8,D12)</f>
        <v>2</v>
      </c>
    </row>
    <row r="14" spans="1:10">
      <c r="A14" s="1" t="s">
        <v>162</v>
      </c>
    </row>
    <row r="15" spans="1:10" ht="36" customHeight="1">
      <c r="A15" s="66" t="s">
        <v>117</v>
      </c>
      <c r="B15" s="66" t="s">
        <v>152</v>
      </c>
      <c r="C15" s="66" t="s">
        <v>153</v>
      </c>
      <c r="D15" s="66" t="s">
        <v>118</v>
      </c>
      <c r="E15" s="66" t="s">
        <v>119</v>
      </c>
      <c r="F15" s="66" t="s">
        <v>120</v>
      </c>
      <c r="G15" s="67" t="s">
        <v>121</v>
      </c>
      <c r="H15" s="67" t="s">
        <v>123</v>
      </c>
      <c r="I15" s="66" t="s">
        <v>154</v>
      </c>
      <c r="J15" s="66" t="s">
        <v>7</v>
      </c>
    </row>
    <row r="16" spans="1:10">
      <c r="A16" s="68" t="s">
        <v>163</v>
      </c>
      <c r="B16" s="68">
        <v>17</v>
      </c>
      <c r="C16" s="68">
        <v>20</v>
      </c>
      <c r="D16" s="68">
        <v>250</v>
      </c>
      <c r="E16" s="68">
        <v>40</v>
      </c>
      <c r="F16" s="68">
        <v>80</v>
      </c>
      <c r="G16" s="69">
        <v>1</v>
      </c>
      <c r="H16" s="69">
        <v>1</v>
      </c>
      <c r="I16" s="68">
        <v>4</v>
      </c>
      <c r="J16" s="16" t="s">
        <v>164</v>
      </c>
    </row>
    <row r="17" spans="1:10">
      <c r="A17" s="68" t="s">
        <v>165</v>
      </c>
      <c r="B17" s="68">
        <v>20</v>
      </c>
      <c r="C17" s="68">
        <v>17</v>
      </c>
      <c r="D17" s="68">
        <v>210</v>
      </c>
      <c r="E17" s="68">
        <v>40</v>
      </c>
      <c r="F17" s="68">
        <v>80</v>
      </c>
      <c r="G17" s="69">
        <v>-1</v>
      </c>
      <c r="H17" s="69">
        <v>1</v>
      </c>
      <c r="I17" s="68">
        <v>1</v>
      </c>
      <c r="J17" s="16" t="s">
        <v>166</v>
      </c>
    </row>
    <row r="19" spans="1:10" ht="39.75" customHeight="1">
      <c r="A19" s="114" t="s">
        <v>167</v>
      </c>
      <c r="B19" s="114"/>
      <c r="C19" s="114"/>
      <c r="D19" s="114"/>
      <c r="E19" s="114"/>
      <c r="F19" s="114"/>
      <c r="G19" s="114"/>
      <c r="H19" s="114"/>
      <c r="I19" s="114"/>
      <c r="J19" s="114"/>
    </row>
  </sheetData>
  <mergeCells count="1">
    <mergeCell ref="A19:J19"/>
  </mergeCells>
  <phoneticPr fontId="19" type="noConversion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1"/>
  <sheetViews>
    <sheetView showGridLines="0" tabSelected="1"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S16" sqref="S16"/>
    </sheetView>
  </sheetViews>
  <sheetFormatPr defaultColWidth="8.7109375" defaultRowHeight="15"/>
  <cols>
    <col min="1" max="1" width="7" customWidth="1"/>
    <col min="2" max="2" width="8" customWidth="1"/>
    <col min="3" max="3" width="5" customWidth="1"/>
    <col min="4" max="4" width="10" customWidth="1"/>
    <col min="5" max="6" width="9" customWidth="1"/>
    <col min="7" max="12" width="10" customWidth="1"/>
    <col min="13" max="14" width="8" customWidth="1"/>
    <col min="15" max="15" width="9" customWidth="1"/>
    <col min="16" max="16" width="22" customWidth="1"/>
  </cols>
  <sheetData>
    <row r="1" spans="1:16" ht="20.25">
      <c r="A1" s="3" t="s">
        <v>168</v>
      </c>
    </row>
    <row r="2" spans="1:16">
      <c r="A2" s="21" t="s">
        <v>169</v>
      </c>
    </row>
    <row r="4" spans="1:16" ht="36" customHeight="1">
      <c r="A4" s="5" t="s">
        <v>114</v>
      </c>
      <c r="B4" s="5" t="s">
        <v>170</v>
      </c>
      <c r="C4" s="5" t="s">
        <v>171</v>
      </c>
      <c r="D4" s="5" t="s">
        <v>118</v>
      </c>
      <c r="E4" s="5" t="s">
        <v>119</v>
      </c>
      <c r="F4" s="5" t="s">
        <v>120</v>
      </c>
      <c r="G4" s="5" t="s">
        <v>172</v>
      </c>
      <c r="H4" s="5" t="s">
        <v>173</v>
      </c>
      <c r="I4" s="5" t="s">
        <v>174</v>
      </c>
      <c r="J4" s="5" t="s">
        <v>175</v>
      </c>
      <c r="K4" s="5" t="s">
        <v>176</v>
      </c>
      <c r="L4" s="5" t="s">
        <v>177</v>
      </c>
      <c r="M4" s="5" t="s">
        <v>178</v>
      </c>
      <c r="N4" s="5" t="s">
        <v>179</v>
      </c>
      <c r="O4" s="5" t="s">
        <v>180</v>
      </c>
      <c r="P4" s="5" t="s">
        <v>7</v>
      </c>
    </row>
    <row r="5" spans="1:16" ht="16.5" customHeight="1">
      <c r="A5" s="70" t="s">
        <v>181</v>
      </c>
      <c r="B5" s="70" t="s">
        <v>73</v>
      </c>
      <c r="C5" s="70">
        <v>1</v>
      </c>
      <c r="D5" s="70">
        <v>210</v>
      </c>
      <c r="E5" s="70">
        <v>60</v>
      </c>
      <c r="F5" s="70">
        <v>20</v>
      </c>
      <c r="G5" s="71">
        <v>93.2</v>
      </c>
      <c r="H5" s="71">
        <v>91.8</v>
      </c>
      <c r="I5" s="71">
        <v>94.5</v>
      </c>
      <c r="J5" s="72">
        <f>IF(COUNT(G5:I5)=0,"",AVERAGE(G5:I5))</f>
        <v>93.166666666666671</v>
      </c>
      <c r="K5" s="72">
        <f>IF(COUNT(G5:I5)&lt;2,"",MAX(G5:I5)-MIN(G5:I5))</f>
        <v>2.7000000000000028</v>
      </c>
      <c r="L5" s="71">
        <v>85.3</v>
      </c>
      <c r="M5" s="73">
        <v>0</v>
      </c>
      <c r="N5" s="73">
        <v>1</v>
      </c>
      <c r="O5" s="71">
        <v>152.4</v>
      </c>
      <c r="P5" s="74"/>
    </row>
    <row r="6" spans="1:16">
      <c r="A6" s="13" t="s">
        <v>182</v>
      </c>
    </row>
    <row r="7" spans="1:16" ht="16.5" customHeight="1">
      <c r="A7" s="75">
        <v>1</v>
      </c>
      <c r="B7" s="15" t="s">
        <v>73</v>
      </c>
      <c r="C7" s="7">
        <v>943</v>
      </c>
      <c r="D7" s="7">
        <v>210</v>
      </c>
      <c r="E7" s="7">
        <v>60</v>
      </c>
      <c r="F7" s="7">
        <v>20</v>
      </c>
      <c r="G7" s="76">
        <v>95.55816650390625</v>
      </c>
      <c r="H7" s="76">
        <v>87.51373291015625</v>
      </c>
      <c r="I7" s="76">
        <v>75.81939697265625</v>
      </c>
      <c r="J7" s="77">
        <f t="shared" ref="J7:J38" si="0">IF(COUNT(G7:I7)=0,"",AVERAGE(G7:I7))</f>
        <v>86.297098795572921</v>
      </c>
      <c r="K7" s="77">
        <f t="shared" ref="K7:K38" si="1">IF(COUNT(G7:I7)&lt;2,"",MAX(G7:I7)-MIN(G7:I7))</f>
        <v>19.73876953125</v>
      </c>
      <c r="L7" s="76"/>
      <c r="M7" s="101">
        <v>0</v>
      </c>
      <c r="N7" s="101">
        <v>0</v>
      </c>
      <c r="O7" s="102">
        <v>76.400000000000006</v>
      </c>
      <c r="P7" s="108" t="s">
        <v>233</v>
      </c>
    </row>
    <row r="8" spans="1:16" ht="16.5" customHeight="1">
      <c r="A8" s="75">
        <v>1</v>
      </c>
      <c r="B8" s="15" t="s">
        <v>73</v>
      </c>
      <c r="C8" s="7">
        <v>945</v>
      </c>
      <c r="D8" s="7">
        <v>210</v>
      </c>
      <c r="E8" s="7">
        <v>60</v>
      </c>
      <c r="F8" s="7">
        <v>20</v>
      </c>
      <c r="G8" s="76">
        <v>98.00262451171875</v>
      </c>
      <c r="H8" s="76">
        <v>94.842529296875</v>
      </c>
      <c r="I8" s="76">
        <v>67.76580810546875</v>
      </c>
      <c r="J8" s="77">
        <f t="shared" si="0"/>
        <v>86.870320638020829</v>
      </c>
      <c r="K8" s="77">
        <f t="shared" si="1"/>
        <v>30.23681640625</v>
      </c>
      <c r="L8" s="76"/>
      <c r="M8" s="101">
        <v>0</v>
      </c>
      <c r="N8" s="101">
        <v>0</v>
      </c>
      <c r="O8" s="102">
        <v>76.45</v>
      </c>
      <c r="P8" s="106"/>
    </row>
    <row r="9" spans="1:16" ht="16.5" customHeight="1">
      <c r="A9" s="75">
        <v>1</v>
      </c>
      <c r="B9" s="15" t="s">
        <v>73</v>
      </c>
      <c r="C9" s="7">
        <v>947</v>
      </c>
      <c r="D9" s="7">
        <v>210</v>
      </c>
      <c r="E9" s="7">
        <v>60</v>
      </c>
      <c r="F9" s="7">
        <v>20</v>
      </c>
      <c r="G9" s="76">
        <v>99.48272705078125</v>
      </c>
      <c r="H9" s="76">
        <v>95.90301513671875</v>
      </c>
      <c r="I9" s="76">
        <v>87.23907470703125</v>
      </c>
      <c r="J9" s="77">
        <f t="shared" si="0"/>
        <v>94.208272298177079</v>
      </c>
      <c r="K9" s="77">
        <f t="shared" si="1"/>
        <v>12.24365234375</v>
      </c>
      <c r="L9" s="76"/>
      <c r="M9" s="101">
        <v>0</v>
      </c>
      <c r="N9" s="101">
        <v>0</v>
      </c>
      <c r="O9" s="102">
        <v>76.5</v>
      </c>
      <c r="P9" s="106"/>
    </row>
    <row r="10" spans="1:16" ht="16.5" customHeight="1">
      <c r="A10" s="75">
        <v>1</v>
      </c>
      <c r="B10" s="24" t="s">
        <v>183</v>
      </c>
      <c r="C10" s="7">
        <v>954</v>
      </c>
      <c r="D10" s="7">
        <v>210</v>
      </c>
      <c r="E10" s="7">
        <v>60</v>
      </c>
      <c r="F10" s="7">
        <v>20</v>
      </c>
      <c r="G10" s="76">
        <v>62.359619140625</v>
      </c>
      <c r="H10" s="76">
        <v>91.01409912109375</v>
      </c>
      <c r="I10" s="76">
        <v>96.685791015625</v>
      </c>
      <c r="J10" s="77">
        <f t="shared" si="0"/>
        <v>83.353169759114579</v>
      </c>
      <c r="K10" s="77">
        <f t="shared" si="1"/>
        <v>34.326171875</v>
      </c>
      <c r="L10" s="76"/>
      <c r="M10" s="101">
        <v>0</v>
      </c>
      <c r="N10" s="101">
        <v>0</v>
      </c>
      <c r="O10" s="102">
        <v>76.38</v>
      </c>
      <c r="P10" s="106"/>
    </row>
    <row r="11" spans="1:16" ht="16.5" customHeight="1">
      <c r="A11" s="75">
        <v>1</v>
      </c>
      <c r="B11" s="24" t="s">
        <v>183</v>
      </c>
      <c r="C11" s="7">
        <v>956</v>
      </c>
      <c r="D11" s="7">
        <v>210</v>
      </c>
      <c r="E11" s="7">
        <v>60</v>
      </c>
      <c r="F11" s="7">
        <v>20</v>
      </c>
      <c r="G11" s="76">
        <v>96.7376708984375</v>
      </c>
      <c r="H11" s="76">
        <v>94.4061279296875</v>
      </c>
      <c r="I11" s="76">
        <v>60.36224365234375</v>
      </c>
      <c r="J11" s="77">
        <f t="shared" si="0"/>
        <v>83.835347493489579</v>
      </c>
      <c r="K11" s="77">
        <f t="shared" si="1"/>
        <v>36.37542724609375</v>
      </c>
      <c r="L11" s="76"/>
      <c r="M11" s="101">
        <v>0</v>
      </c>
      <c r="N11" s="101">
        <v>0</v>
      </c>
      <c r="O11" s="102">
        <v>76.41</v>
      </c>
      <c r="P11" s="106"/>
    </row>
    <row r="12" spans="1:16" ht="16.5" customHeight="1" thickBot="1">
      <c r="A12" s="78">
        <v>1</v>
      </c>
      <c r="B12" s="79" t="s">
        <v>183</v>
      </c>
      <c r="C12" s="80">
        <v>958</v>
      </c>
      <c r="D12" s="80">
        <v>210</v>
      </c>
      <c r="E12" s="80">
        <v>60</v>
      </c>
      <c r="F12" s="80">
        <v>20</v>
      </c>
      <c r="G12" s="81">
        <v>73.0712890625</v>
      </c>
      <c r="H12" s="81">
        <v>97.5341796875</v>
      </c>
      <c r="I12" s="81">
        <v>97.36175537109375</v>
      </c>
      <c r="J12" s="82">
        <f t="shared" si="0"/>
        <v>89.322408040364579</v>
      </c>
      <c r="K12" s="82">
        <f t="shared" si="1"/>
        <v>24.462890625</v>
      </c>
      <c r="L12" s="81"/>
      <c r="M12" s="103">
        <v>0</v>
      </c>
      <c r="N12" s="103">
        <v>0</v>
      </c>
      <c r="O12" s="104">
        <v>76.39</v>
      </c>
      <c r="P12" s="107"/>
    </row>
    <row r="13" spans="1:16" ht="16.5" customHeight="1">
      <c r="A13" s="75">
        <v>2</v>
      </c>
      <c r="B13" s="15" t="s">
        <v>73</v>
      </c>
      <c r="C13" s="7">
        <v>965</v>
      </c>
      <c r="D13" s="7">
        <v>210</v>
      </c>
      <c r="E13" s="7">
        <v>60</v>
      </c>
      <c r="F13" s="7">
        <v>40</v>
      </c>
      <c r="G13" s="76">
        <v>98.370361328125</v>
      </c>
      <c r="H13" s="76">
        <v>96.64764404296875</v>
      </c>
      <c r="I13" s="76">
        <v>64.60723876953125</v>
      </c>
      <c r="J13" s="77">
        <f t="shared" si="0"/>
        <v>86.541748046875</v>
      </c>
      <c r="K13" s="77">
        <f t="shared" si="1"/>
        <v>33.76312255859375</v>
      </c>
      <c r="L13" s="76"/>
      <c r="M13" s="101">
        <v>0</v>
      </c>
      <c r="N13" s="101">
        <v>0</v>
      </c>
      <c r="O13" s="102">
        <v>77.55</v>
      </c>
      <c r="P13" s="105" t="s">
        <v>232</v>
      </c>
    </row>
    <row r="14" spans="1:16" ht="16.5" customHeight="1">
      <c r="A14" s="75">
        <v>2</v>
      </c>
      <c r="B14" s="15" t="s">
        <v>73</v>
      </c>
      <c r="C14" s="7">
        <v>967</v>
      </c>
      <c r="D14" s="7">
        <v>210</v>
      </c>
      <c r="E14" s="7">
        <v>60</v>
      </c>
      <c r="F14" s="7">
        <v>40</v>
      </c>
      <c r="G14" s="76">
        <v>99.0325927734375</v>
      </c>
      <c r="H14" s="76">
        <v>96.6400146484375</v>
      </c>
      <c r="I14" s="76">
        <v>64.6240234375</v>
      </c>
      <c r="J14" s="77">
        <f t="shared" si="0"/>
        <v>86.765543619791671</v>
      </c>
      <c r="K14" s="77">
        <f t="shared" si="1"/>
        <v>34.4085693359375</v>
      </c>
      <c r="L14" s="76"/>
      <c r="M14" s="101">
        <v>0</v>
      </c>
      <c r="N14" s="101">
        <v>0</v>
      </c>
      <c r="O14" s="102">
        <v>77.599999999999994</v>
      </c>
      <c r="P14" s="106"/>
    </row>
    <row r="15" spans="1:16" ht="16.5" customHeight="1" thickBot="1">
      <c r="A15" s="78">
        <v>2</v>
      </c>
      <c r="B15" s="83" t="s">
        <v>73</v>
      </c>
      <c r="C15" s="80">
        <v>969</v>
      </c>
      <c r="D15" s="80">
        <v>210</v>
      </c>
      <c r="E15" s="80">
        <v>60</v>
      </c>
      <c r="F15" s="80">
        <v>40</v>
      </c>
      <c r="G15" s="81">
        <v>93.48907470703125</v>
      </c>
      <c r="H15" s="81">
        <v>95.66802978515625</v>
      </c>
      <c r="I15" s="81">
        <v>90.55023193359375</v>
      </c>
      <c r="J15" s="82">
        <f t="shared" si="0"/>
        <v>93.23577880859375</v>
      </c>
      <c r="K15" s="82">
        <f t="shared" si="1"/>
        <v>5.1177978515625</v>
      </c>
      <c r="L15" s="81"/>
      <c r="M15" s="103">
        <v>0</v>
      </c>
      <c r="N15" s="103">
        <v>0</v>
      </c>
      <c r="O15" s="104">
        <v>77.52</v>
      </c>
      <c r="P15" s="107"/>
    </row>
    <row r="16" spans="1:16" ht="16.5" customHeight="1">
      <c r="A16" s="75">
        <v>3</v>
      </c>
      <c r="B16" s="15" t="s">
        <v>73</v>
      </c>
      <c r="C16" s="7">
        <v>975</v>
      </c>
      <c r="D16" s="7">
        <v>210</v>
      </c>
      <c r="E16" s="7">
        <v>60</v>
      </c>
      <c r="F16" s="7">
        <v>60</v>
      </c>
      <c r="G16" s="76">
        <v>96.0968017578125</v>
      </c>
      <c r="H16" s="76">
        <v>96.783447265625</v>
      </c>
      <c r="I16" s="76">
        <v>91.96929931640625</v>
      </c>
      <c r="J16" s="77">
        <f t="shared" si="0"/>
        <v>94.949849446614579</v>
      </c>
      <c r="K16" s="77">
        <f t="shared" si="1"/>
        <v>4.81414794921875</v>
      </c>
      <c r="L16" s="76"/>
      <c r="M16" s="101">
        <v>0</v>
      </c>
      <c r="N16" s="101">
        <v>0</v>
      </c>
      <c r="O16" s="102">
        <v>79.09</v>
      </c>
      <c r="P16" s="105" t="s">
        <v>226</v>
      </c>
    </row>
    <row r="17" spans="1:16" ht="16.5" customHeight="1">
      <c r="A17" s="75">
        <v>3</v>
      </c>
      <c r="B17" s="15" t="s">
        <v>73</v>
      </c>
      <c r="C17" s="7">
        <v>977</v>
      </c>
      <c r="D17" s="7">
        <v>210</v>
      </c>
      <c r="E17" s="7">
        <v>60</v>
      </c>
      <c r="F17" s="7">
        <v>60</v>
      </c>
      <c r="G17" s="76">
        <v>98.02703857421875</v>
      </c>
      <c r="H17" s="76">
        <v>96.630859375</v>
      </c>
      <c r="I17" s="76">
        <v>95.2606201171875</v>
      </c>
      <c r="J17" s="77">
        <f t="shared" si="0"/>
        <v>96.639506022135421</v>
      </c>
      <c r="K17" s="77">
        <f t="shared" si="1"/>
        <v>2.76641845703125</v>
      </c>
      <c r="L17" s="76"/>
      <c r="M17" s="101">
        <v>0</v>
      </c>
      <c r="N17" s="101">
        <v>0</v>
      </c>
      <c r="O17" s="102">
        <v>79.459999999999994</v>
      </c>
      <c r="P17" s="106"/>
    </row>
    <row r="18" spans="1:16" ht="16.5" customHeight="1" thickBot="1">
      <c r="A18" s="78">
        <v>3</v>
      </c>
      <c r="B18" s="83" t="s">
        <v>73</v>
      </c>
      <c r="C18" s="80">
        <v>979</v>
      </c>
      <c r="D18" s="80">
        <v>210</v>
      </c>
      <c r="E18" s="80">
        <v>60</v>
      </c>
      <c r="F18" s="80">
        <v>60</v>
      </c>
      <c r="G18" s="81">
        <v>97.65625</v>
      </c>
      <c r="H18" s="81">
        <v>96.62017822265625</v>
      </c>
      <c r="I18" s="81">
        <v>96.79412841796875</v>
      </c>
      <c r="J18" s="82">
        <f t="shared" si="0"/>
        <v>97.023518880208329</v>
      </c>
      <c r="K18" s="82">
        <f t="shared" si="1"/>
        <v>1.03607177734375</v>
      </c>
      <c r="L18" s="81"/>
      <c r="M18" s="103">
        <v>0</v>
      </c>
      <c r="N18" s="103">
        <v>0</v>
      </c>
      <c r="O18" s="104">
        <v>79.25</v>
      </c>
      <c r="P18" s="107"/>
    </row>
    <row r="19" spans="1:16" ht="16.5" customHeight="1">
      <c r="A19" s="75">
        <v>4</v>
      </c>
      <c r="B19" s="15" t="s">
        <v>73</v>
      </c>
      <c r="C19" s="7">
        <v>991</v>
      </c>
      <c r="D19" s="7">
        <v>210</v>
      </c>
      <c r="E19" s="7">
        <v>60</v>
      </c>
      <c r="F19" s="7">
        <v>80</v>
      </c>
      <c r="G19" s="76">
        <v>96.51336669921875</v>
      </c>
      <c r="H19" s="76">
        <v>96.2921142578125</v>
      </c>
      <c r="I19" s="76">
        <v>97.314453125</v>
      </c>
      <c r="J19" s="77">
        <f t="shared" si="0"/>
        <v>96.706644694010421</v>
      </c>
      <c r="K19" s="77">
        <f t="shared" si="1"/>
        <v>1.0223388671875</v>
      </c>
      <c r="L19" s="76"/>
      <c r="M19" s="101">
        <v>1</v>
      </c>
      <c r="N19" s="101">
        <v>0</v>
      </c>
      <c r="O19" s="102">
        <v>82.13</v>
      </c>
      <c r="P19" s="105" t="s">
        <v>225</v>
      </c>
    </row>
    <row r="20" spans="1:16" ht="16.5" customHeight="1">
      <c r="A20" s="75">
        <v>4</v>
      </c>
      <c r="B20" s="15" t="s">
        <v>73</v>
      </c>
      <c r="C20" s="7">
        <v>993</v>
      </c>
      <c r="D20" s="7">
        <v>210</v>
      </c>
      <c r="E20" s="7">
        <v>60</v>
      </c>
      <c r="F20" s="7">
        <v>80</v>
      </c>
      <c r="G20" s="76">
        <v>97.49298095703125</v>
      </c>
      <c r="H20" s="76">
        <v>96.4569091796875</v>
      </c>
      <c r="I20" s="76">
        <v>96.22039794921875</v>
      </c>
      <c r="J20" s="77">
        <f t="shared" si="0"/>
        <v>96.723429361979171</v>
      </c>
      <c r="K20" s="77">
        <f t="shared" si="1"/>
        <v>1.2725830078125</v>
      </c>
      <c r="L20" s="76"/>
      <c r="M20" s="101">
        <v>1</v>
      </c>
      <c r="N20" s="101">
        <v>0</v>
      </c>
      <c r="O20" s="102">
        <v>82.59</v>
      </c>
      <c r="P20" s="106"/>
    </row>
    <row r="21" spans="1:16" ht="16.5" customHeight="1">
      <c r="A21" s="75">
        <v>4</v>
      </c>
      <c r="B21" s="15" t="s">
        <v>73</v>
      </c>
      <c r="C21" s="7">
        <v>995</v>
      </c>
      <c r="D21" s="7">
        <v>210</v>
      </c>
      <c r="E21" s="7">
        <v>60</v>
      </c>
      <c r="F21" s="7">
        <v>80</v>
      </c>
      <c r="G21" s="76">
        <v>96.1639404296875</v>
      </c>
      <c r="H21" s="76">
        <v>95.9625244140625</v>
      </c>
      <c r="I21" s="76">
        <v>96.1090087890625</v>
      </c>
      <c r="J21" s="77">
        <f t="shared" si="0"/>
        <v>96.0784912109375</v>
      </c>
      <c r="K21" s="77">
        <f t="shared" si="1"/>
        <v>0.201416015625</v>
      </c>
      <c r="L21" s="76"/>
      <c r="M21" s="101">
        <v>1</v>
      </c>
      <c r="N21" s="101">
        <v>0</v>
      </c>
      <c r="O21" s="102">
        <v>82.5</v>
      </c>
      <c r="P21" s="106"/>
    </row>
    <row r="22" spans="1:16" ht="16.5" customHeight="1">
      <c r="A22" s="75">
        <v>4</v>
      </c>
      <c r="B22" s="24" t="s">
        <v>183</v>
      </c>
      <c r="C22" s="7">
        <v>1000</v>
      </c>
      <c r="D22" s="7">
        <v>210</v>
      </c>
      <c r="E22" s="7">
        <v>60</v>
      </c>
      <c r="F22" s="7">
        <v>80</v>
      </c>
      <c r="G22" s="76">
        <v>90.533447265625</v>
      </c>
      <c r="H22" s="76">
        <v>98.93646240234375</v>
      </c>
      <c r="I22" s="76">
        <v>97.589111328125</v>
      </c>
      <c r="J22" s="77">
        <f t="shared" si="0"/>
        <v>95.68634033203125</v>
      </c>
      <c r="K22" s="77">
        <f t="shared" si="1"/>
        <v>8.40301513671875</v>
      </c>
      <c r="L22" s="76"/>
      <c r="M22" s="101">
        <v>1</v>
      </c>
      <c r="N22" s="101">
        <v>0</v>
      </c>
      <c r="O22" s="102">
        <v>81.96</v>
      </c>
      <c r="P22" s="106"/>
    </row>
    <row r="23" spans="1:16" ht="16.5" customHeight="1">
      <c r="A23" s="75">
        <v>4</v>
      </c>
      <c r="B23" s="24" t="s">
        <v>183</v>
      </c>
      <c r="C23" s="7">
        <v>1002</v>
      </c>
      <c r="D23" s="7">
        <v>210</v>
      </c>
      <c r="E23" s="7">
        <v>60</v>
      </c>
      <c r="F23" s="7">
        <v>80</v>
      </c>
      <c r="G23" s="76">
        <v>97.174072265625</v>
      </c>
      <c r="H23" s="76">
        <v>96.14410400390625</v>
      </c>
      <c r="I23" s="76">
        <v>95.2911376953125</v>
      </c>
      <c r="J23" s="77">
        <f t="shared" si="0"/>
        <v>96.203104654947921</v>
      </c>
      <c r="K23" s="77">
        <f t="shared" si="1"/>
        <v>1.8829345703125</v>
      </c>
      <c r="L23" s="76"/>
      <c r="M23" s="101">
        <v>1</v>
      </c>
      <c r="N23" s="101">
        <v>0</v>
      </c>
      <c r="O23" s="102">
        <v>81.96</v>
      </c>
      <c r="P23" s="106"/>
    </row>
    <row r="24" spans="1:16" ht="16.5" customHeight="1" thickBot="1">
      <c r="A24" s="78">
        <v>4</v>
      </c>
      <c r="B24" s="79" t="s">
        <v>183</v>
      </c>
      <c r="C24" s="80">
        <v>1004</v>
      </c>
      <c r="D24" s="80">
        <v>210</v>
      </c>
      <c r="E24" s="80">
        <v>60</v>
      </c>
      <c r="F24" s="80">
        <v>80</v>
      </c>
      <c r="G24" s="81">
        <v>96.94366455078125</v>
      </c>
      <c r="H24" s="81">
        <v>96.3104248046875</v>
      </c>
      <c r="I24" s="81">
        <v>95.9747314453125</v>
      </c>
      <c r="J24" s="82">
        <f t="shared" si="0"/>
        <v>96.40960693359375</v>
      </c>
      <c r="K24" s="82">
        <f t="shared" si="1"/>
        <v>0.96893310546875</v>
      </c>
      <c r="L24" s="81"/>
      <c r="M24" s="103">
        <v>1</v>
      </c>
      <c r="N24" s="103">
        <v>0</v>
      </c>
      <c r="O24" s="104">
        <v>81.819999999999993</v>
      </c>
      <c r="P24" s="107"/>
    </row>
    <row r="25" spans="1:16" ht="16.5" customHeight="1">
      <c r="A25" s="75">
        <v>5</v>
      </c>
      <c r="B25" s="15" t="s">
        <v>73</v>
      </c>
      <c r="C25" s="7">
        <v>1017</v>
      </c>
      <c r="D25" s="7">
        <v>223</v>
      </c>
      <c r="E25" s="7">
        <v>60</v>
      </c>
      <c r="F25" s="7">
        <v>40</v>
      </c>
      <c r="G25" s="76">
        <v>98.01483154296875</v>
      </c>
      <c r="H25" s="76">
        <v>96.63848876953125</v>
      </c>
      <c r="I25" s="76">
        <v>87.005615234375</v>
      </c>
      <c r="J25" s="77">
        <f t="shared" si="0"/>
        <v>93.886311848958329</v>
      </c>
      <c r="K25" s="77">
        <f t="shared" si="1"/>
        <v>11.00921630859375</v>
      </c>
      <c r="L25" s="76"/>
      <c r="M25" s="101">
        <v>0</v>
      </c>
      <c r="N25" s="101">
        <v>0</v>
      </c>
      <c r="O25" s="102">
        <v>76.900000000000006</v>
      </c>
      <c r="P25" s="105" t="s">
        <v>230</v>
      </c>
    </row>
    <row r="26" spans="1:16" ht="16.5" customHeight="1">
      <c r="A26" s="75">
        <v>5</v>
      </c>
      <c r="B26" s="15" t="s">
        <v>73</v>
      </c>
      <c r="C26" s="7">
        <v>1019</v>
      </c>
      <c r="D26" s="7">
        <v>223</v>
      </c>
      <c r="E26" s="7">
        <v>60</v>
      </c>
      <c r="F26" s="7">
        <v>40</v>
      </c>
      <c r="G26" s="76">
        <v>97.6318359375</v>
      </c>
      <c r="H26" s="76">
        <v>95.330810546875</v>
      </c>
      <c r="I26" s="76">
        <v>91.2261962890625</v>
      </c>
      <c r="J26" s="77">
        <f t="shared" si="0"/>
        <v>94.7296142578125</v>
      </c>
      <c r="K26" s="77">
        <f t="shared" si="1"/>
        <v>6.4056396484375</v>
      </c>
      <c r="L26" s="76"/>
      <c r="M26" s="101">
        <v>0</v>
      </c>
      <c r="N26" s="101">
        <v>0</v>
      </c>
      <c r="O26" s="102">
        <v>76.81</v>
      </c>
      <c r="P26" s="106"/>
    </row>
    <row r="27" spans="1:16" ht="16.5" customHeight="1" thickBot="1">
      <c r="A27" s="78">
        <v>5</v>
      </c>
      <c r="B27" s="83" t="s">
        <v>73</v>
      </c>
      <c r="C27" s="80">
        <v>1021</v>
      </c>
      <c r="D27" s="80">
        <v>223</v>
      </c>
      <c r="E27" s="80">
        <v>60</v>
      </c>
      <c r="F27" s="80">
        <v>40</v>
      </c>
      <c r="G27" s="81">
        <v>99.00054931640625</v>
      </c>
      <c r="H27" s="81">
        <v>96.61407470703125</v>
      </c>
      <c r="I27" s="81">
        <v>73.76251220703125</v>
      </c>
      <c r="J27" s="82">
        <f t="shared" si="0"/>
        <v>89.792378743489579</v>
      </c>
      <c r="K27" s="82">
        <f t="shared" si="1"/>
        <v>25.238037109375</v>
      </c>
      <c r="L27" s="81"/>
      <c r="M27" s="103">
        <v>0</v>
      </c>
      <c r="N27" s="103">
        <v>0</v>
      </c>
      <c r="O27" s="104">
        <v>76.83</v>
      </c>
      <c r="P27" s="107"/>
    </row>
    <row r="28" spans="1:16" ht="16.5" customHeight="1">
      <c r="A28" s="75">
        <v>6</v>
      </c>
      <c r="B28" s="15" t="s">
        <v>73</v>
      </c>
      <c r="C28" s="7">
        <v>1027</v>
      </c>
      <c r="D28" s="7">
        <v>223</v>
      </c>
      <c r="E28" s="7">
        <v>60</v>
      </c>
      <c r="F28" s="7">
        <v>20</v>
      </c>
      <c r="G28" s="76">
        <v>96.56982421875</v>
      </c>
      <c r="H28" s="76">
        <v>92.596435546875</v>
      </c>
      <c r="I28" s="76">
        <v>85.16845703125</v>
      </c>
      <c r="J28" s="77">
        <f t="shared" si="0"/>
        <v>91.444905598958329</v>
      </c>
      <c r="K28" s="77">
        <f t="shared" si="1"/>
        <v>11.4013671875</v>
      </c>
      <c r="L28" s="76"/>
      <c r="M28" s="101">
        <v>0</v>
      </c>
      <c r="N28" s="101">
        <v>0</v>
      </c>
      <c r="O28" s="102">
        <v>76.2</v>
      </c>
      <c r="P28" s="105" t="s">
        <v>229</v>
      </c>
    </row>
    <row r="29" spans="1:16" ht="16.5" customHeight="1">
      <c r="A29" s="75">
        <v>6</v>
      </c>
      <c r="B29" s="15" t="s">
        <v>73</v>
      </c>
      <c r="C29" s="7">
        <v>1029</v>
      </c>
      <c r="D29" s="7">
        <v>223</v>
      </c>
      <c r="E29" s="7">
        <v>60</v>
      </c>
      <c r="F29" s="7">
        <v>20</v>
      </c>
      <c r="G29" s="76">
        <v>97.52655029296875</v>
      </c>
      <c r="H29" s="76">
        <v>96.05865478515625</v>
      </c>
      <c r="I29" s="76">
        <v>57.647705078125</v>
      </c>
      <c r="J29" s="77">
        <f t="shared" si="0"/>
        <v>83.744303385416671</v>
      </c>
      <c r="K29" s="77">
        <f t="shared" si="1"/>
        <v>39.87884521484375</v>
      </c>
      <c r="L29" s="76"/>
      <c r="M29" s="101">
        <v>0</v>
      </c>
      <c r="N29" s="101">
        <v>0</v>
      </c>
      <c r="O29" s="102">
        <v>76.25</v>
      </c>
      <c r="P29" s="106"/>
    </row>
    <row r="30" spans="1:16" ht="16.5" customHeight="1" thickBot="1">
      <c r="A30" s="78">
        <v>6</v>
      </c>
      <c r="B30" s="83" t="s">
        <v>73</v>
      </c>
      <c r="C30" s="80">
        <v>1031</v>
      </c>
      <c r="D30" s="80">
        <v>223</v>
      </c>
      <c r="E30" s="80">
        <v>60</v>
      </c>
      <c r="F30" s="80">
        <v>20</v>
      </c>
      <c r="G30" s="81">
        <v>95.90301513671875</v>
      </c>
      <c r="H30" s="81">
        <v>94.8455810546875</v>
      </c>
      <c r="I30" s="81">
        <v>69.512939453125</v>
      </c>
      <c r="J30" s="82">
        <f t="shared" si="0"/>
        <v>86.75384521484375</v>
      </c>
      <c r="K30" s="82">
        <f t="shared" si="1"/>
        <v>26.39007568359375</v>
      </c>
      <c r="L30" s="81"/>
      <c r="M30" s="103">
        <v>0</v>
      </c>
      <c r="N30" s="103">
        <v>0</v>
      </c>
      <c r="O30" s="104">
        <v>76.27</v>
      </c>
      <c r="P30" s="107"/>
    </row>
    <row r="31" spans="1:16" ht="16.5" customHeight="1">
      <c r="A31" s="75">
        <v>7</v>
      </c>
      <c r="B31" s="15" t="s">
        <v>73</v>
      </c>
      <c r="C31" s="7">
        <v>1037</v>
      </c>
      <c r="D31" s="7">
        <v>223</v>
      </c>
      <c r="E31" s="7">
        <v>60</v>
      </c>
      <c r="F31" s="7">
        <v>80</v>
      </c>
      <c r="G31" s="76">
        <v>96.78802490234375</v>
      </c>
      <c r="H31" s="76">
        <v>97.2015380859375</v>
      </c>
      <c r="I31" s="76">
        <v>94.12994384765625</v>
      </c>
      <c r="J31" s="77">
        <f t="shared" si="0"/>
        <v>96.039835611979171</v>
      </c>
      <c r="K31" s="77">
        <f t="shared" si="1"/>
        <v>3.07159423828125</v>
      </c>
      <c r="L31" s="76"/>
      <c r="M31" s="101">
        <v>0</v>
      </c>
      <c r="N31" s="101">
        <v>0</v>
      </c>
      <c r="O31" s="102">
        <v>78.48</v>
      </c>
      <c r="P31" s="105" t="s">
        <v>234</v>
      </c>
    </row>
    <row r="32" spans="1:16" ht="16.5" customHeight="1">
      <c r="A32" s="75">
        <v>7</v>
      </c>
      <c r="B32" s="15" t="s">
        <v>73</v>
      </c>
      <c r="C32" s="7">
        <v>1039</v>
      </c>
      <c r="D32" s="7">
        <v>223</v>
      </c>
      <c r="E32" s="7">
        <v>60</v>
      </c>
      <c r="F32" s="7">
        <v>80</v>
      </c>
      <c r="G32" s="76">
        <v>97.19085693359375</v>
      </c>
      <c r="H32" s="76">
        <v>96.89178466796875</v>
      </c>
      <c r="I32" s="76">
        <v>93.26171875</v>
      </c>
      <c r="J32" s="77">
        <f t="shared" si="0"/>
        <v>95.781453450520829</v>
      </c>
      <c r="K32" s="77">
        <f t="shared" si="1"/>
        <v>3.92913818359375</v>
      </c>
      <c r="L32" s="76"/>
      <c r="M32" s="101">
        <v>0</v>
      </c>
      <c r="N32" s="101">
        <v>0</v>
      </c>
      <c r="O32" s="102">
        <v>78.38</v>
      </c>
      <c r="P32" s="106"/>
    </row>
    <row r="33" spans="1:16" ht="16.5" customHeight="1" thickBot="1">
      <c r="A33" s="78">
        <v>7</v>
      </c>
      <c r="B33" s="83" t="s">
        <v>73</v>
      </c>
      <c r="C33" s="80">
        <v>1041</v>
      </c>
      <c r="D33" s="80">
        <v>223</v>
      </c>
      <c r="E33" s="80">
        <v>60</v>
      </c>
      <c r="F33" s="80">
        <v>80</v>
      </c>
      <c r="G33" s="81">
        <v>95.70770263671875</v>
      </c>
      <c r="H33" s="81">
        <v>96.33026123046875</v>
      </c>
      <c r="I33" s="81">
        <v>95.79315185546875</v>
      </c>
      <c r="J33" s="82">
        <f t="shared" si="0"/>
        <v>95.943705240885421</v>
      </c>
      <c r="K33" s="82">
        <f t="shared" si="1"/>
        <v>0.62255859375</v>
      </c>
      <c r="L33" s="81"/>
      <c r="M33" s="103">
        <v>0</v>
      </c>
      <c r="N33" s="103">
        <v>0</v>
      </c>
      <c r="O33" s="104">
        <v>79.06</v>
      </c>
      <c r="P33" s="107"/>
    </row>
    <row r="34" spans="1:16" ht="16.5" customHeight="1">
      <c r="A34" s="75">
        <v>8</v>
      </c>
      <c r="B34" s="15" t="s">
        <v>73</v>
      </c>
      <c r="C34" s="7">
        <v>1051</v>
      </c>
      <c r="D34" s="7">
        <v>223</v>
      </c>
      <c r="E34" s="7">
        <v>60</v>
      </c>
      <c r="F34" s="7">
        <v>60</v>
      </c>
      <c r="G34" s="76">
        <v>96.45843505859375</v>
      </c>
      <c r="H34" s="76">
        <v>96.2432861328125</v>
      </c>
      <c r="I34" s="76">
        <v>95.64666748046875</v>
      </c>
      <c r="J34" s="77">
        <f t="shared" si="0"/>
        <v>96.116129557291671</v>
      </c>
      <c r="K34" s="77">
        <f t="shared" si="1"/>
        <v>0.811767578125</v>
      </c>
      <c r="L34" s="76"/>
      <c r="M34" s="101">
        <v>0</v>
      </c>
      <c r="N34" s="101">
        <v>0</v>
      </c>
      <c r="O34" s="102">
        <v>77.290000000000006</v>
      </c>
      <c r="P34" s="105" t="s">
        <v>232</v>
      </c>
    </row>
    <row r="35" spans="1:16" ht="16.5" customHeight="1">
      <c r="A35" s="75">
        <v>8</v>
      </c>
      <c r="B35" s="15" t="s">
        <v>73</v>
      </c>
      <c r="C35" s="7">
        <v>1053</v>
      </c>
      <c r="D35" s="7">
        <v>223</v>
      </c>
      <c r="E35" s="7">
        <v>60</v>
      </c>
      <c r="F35" s="7">
        <v>60</v>
      </c>
      <c r="G35" s="76">
        <v>96.14715576171875</v>
      </c>
      <c r="H35" s="76">
        <v>97.22442626953125</v>
      </c>
      <c r="I35" s="76">
        <v>96.99554443359375</v>
      </c>
      <c r="J35" s="77">
        <f t="shared" si="0"/>
        <v>96.789042154947921</v>
      </c>
      <c r="K35" s="77">
        <f t="shared" si="1"/>
        <v>1.0772705078125</v>
      </c>
      <c r="L35" s="76"/>
      <c r="M35" s="101">
        <v>0</v>
      </c>
      <c r="N35" s="101">
        <v>0</v>
      </c>
      <c r="O35" s="102">
        <v>77.34</v>
      </c>
      <c r="P35" s="106"/>
    </row>
    <row r="36" spans="1:16" ht="16.5" customHeight="1" thickBot="1">
      <c r="A36" s="78">
        <v>8</v>
      </c>
      <c r="B36" s="83" t="s">
        <v>73</v>
      </c>
      <c r="C36" s="80">
        <v>1055</v>
      </c>
      <c r="D36" s="80">
        <v>223</v>
      </c>
      <c r="E36" s="80">
        <v>60</v>
      </c>
      <c r="F36" s="80">
        <v>60</v>
      </c>
      <c r="G36" s="81">
        <v>95.47271728515625</v>
      </c>
      <c r="H36" s="81">
        <v>98.08197021484375</v>
      </c>
      <c r="I36" s="81">
        <v>96.710205078125</v>
      </c>
      <c r="J36" s="82">
        <f t="shared" si="0"/>
        <v>96.754964192708329</v>
      </c>
      <c r="K36" s="82">
        <f t="shared" si="1"/>
        <v>2.6092529296875</v>
      </c>
      <c r="L36" s="81"/>
      <c r="M36" s="103">
        <v>0</v>
      </c>
      <c r="N36" s="103">
        <v>0</v>
      </c>
      <c r="O36" s="104">
        <v>77.3</v>
      </c>
      <c r="P36" s="107"/>
    </row>
    <row r="37" spans="1:16" ht="16.5" customHeight="1">
      <c r="A37" s="75">
        <v>9</v>
      </c>
      <c r="B37" s="15" t="s">
        <v>73</v>
      </c>
      <c r="C37" s="7">
        <v>1063</v>
      </c>
      <c r="D37" s="7">
        <v>237</v>
      </c>
      <c r="E37" s="7">
        <v>60</v>
      </c>
      <c r="F37" s="7">
        <v>20</v>
      </c>
      <c r="G37" s="76">
        <v>97.003173828125</v>
      </c>
      <c r="H37" s="76">
        <v>88.470458984375</v>
      </c>
      <c r="I37" s="76">
        <v>89.85748291015625</v>
      </c>
      <c r="J37" s="77">
        <f t="shared" si="0"/>
        <v>91.77703857421875</v>
      </c>
      <c r="K37" s="77">
        <f t="shared" si="1"/>
        <v>8.53271484375</v>
      </c>
      <c r="L37" s="76"/>
      <c r="M37" s="101">
        <v>0</v>
      </c>
      <c r="N37" s="101">
        <v>0</v>
      </c>
      <c r="O37" s="102">
        <v>75.53</v>
      </c>
      <c r="P37" s="105" t="s">
        <v>231</v>
      </c>
    </row>
    <row r="38" spans="1:16" ht="16.5" customHeight="1">
      <c r="A38" s="75">
        <v>9</v>
      </c>
      <c r="B38" s="15" t="s">
        <v>73</v>
      </c>
      <c r="C38" s="7">
        <v>1065</v>
      </c>
      <c r="D38" s="7">
        <v>237</v>
      </c>
      <c r="E38" s="7">
        <v>60</v>
      </c>
      <c r="F38" s="7">
        <v>20</v>
      </c>
      <c r="G38" s="76">
        <v>95.025634765625</v>
      </c>
      <c r="H38" s="76">
        <v>93.3319091796875</v>
      </c>
      <c r="I38" s="76">
        <v>71.1883544921875</v>
      </c>
      <c r="J38" s="77">
        <f t="shared" si="0"/>
        <v>86.515299479166671</v>
      </c>
      <c r="K38" s="77">
        <f t="shared" si="1"/>
        <v>23.8372802734375</v>
      </c>
      <c r="L38" s="76"/>
      <c r="M38" s="101">
        <v>0</v>
      </c>
      <c r="N38" s="101">
        <v>0</v>
      </c>
      <c r="O38" s="102">
        <v>75.430000000000007</v>
      </c>
      <c r="P38" s="106"/>
    </row>
    <row r="39" spans="1:16" ht="16.5" customHeight="1" thickBot="1">
      <c r="A39" s="78">
        <v>9</v>
      </c>
      <c r="B39" s="83" t="s">
        <v>73</v>
      </c>
      <c r="C39" s="80">
        <v>1067</v>
      </c>
      <c r="D39" s="80">
        <v>237</v>
      </c>
      <c r="E39" s="80">
        <v>60</v>
      </c>
      <c r="F39" s="80">
        <v>20</v>
      </c>
      <c r="G39" s="81">
        <v>95.73211669921875</v>
      </c>
      <c r="H39" s="81">
        <v>95.452880859375</v>
      </c>
      <c r="I39" s="81">
        <v>90.11688232421875</v>
      </c>
      <c r="J39" s="82">
        <f t="shared" ref="J39:J70" si="2">IF(COUNT(G39:I39)=0,"",AVERAGE(G39:I39))</f>
        <v>93.767293294270829</v>
      </c>
      <c r="K39" s="82">
        <f t="shared" ref="K39:K70" si="3">IF(COUNT(G39:I39)&lt;2,"",MAX(G39:I39)-MIN(G39:I39))</f>
        <v>5.615234375</v>
      </c>
      <c r="L39" s="81"/>
      <c r="M39" s="103">
        <v>0</v>
      </c>
      <c r="N39" s="103">
        <v>0</v>
      </c>
      <c r="O39" s="104">
        <v>75.53</v>
      </c>
      <c r="P39" s="107"/>
    </row>
    <row r="40" spans="1:16" ht="16.5" customHeight="1">
      <c r="A40" s="75">
        <v>10</v>
      </c>
      <c r="B40" s="15" t="s">
        <v>73</v>
      </c>
      <c r="C40" s="7">
        <v>1073</v>
      </c>
      <c r="D40" s="7">
        <v>237</v>
      </c>
      <c r="E40" s="7">
        <v>60</v>
      </c>
      <c r="F40" s="7">
        <v>40</v>
      </c>
      <c r="G40" s="76">
        <v>98.45428466796875</v>
      </c>
      <c r="H40" s="76">
        <v>97.99652099609375</v>
      </c>
      <c r="I40" s="76">
        <v>93.65234375</v>
      </c>
      <c r="J40" s="77">
        <f t="shared" si="2"/>
        <v>96.7010498046875</v>
      </c>
      <c r="K40" s="77">
        <f t="shared" si="3"/>
        <v>4.80194091796875</v>
      </c>
      <c r="L40" s="76"/>
      <c r="M40" s="101">
        <v>0</v>
      </c>
      <c r="N40" s="101">
        <v>0</v>
      </c>
      <c r="O40" s="102">
        <v>76.08</v>
      </c>
      <c r="P40" s="105" t="s">
        <v>233</v>
      </c>
    </row>
    <row r="41" spans="1:16" ht="16.5" customHeight="1">
      <c r="A41" s="75">
        <v>10</v>
      </c>
      <c r="B41" s="15" t="s">
        <v>73</v>
      </c>
      <c r="C41" s="7">
        <v>1075</v>
      </c>
      <c r="D41" s="7">
        <v>237</v>
      </c>
      <c r="E41" s="7">
        <v>60</v>
      </c>
      <c r="F41" s="7">
        <v>40</v>
      </c>
      <c r="G41" s="76">
        <v>96.710205078125</v>
      </c>
      <c r="H41" s="76">
        <v>96.4324951171875</v>
      </c>
      <c r="I41" s="76">
        <v>96.87652587890625</v>
      </c>
      <c r="J41" s="77">
        <f t="shared" si="2"/>
        <v>96.673075358072921</v>
      </c>
      <c r="K41" s="77">
        <f t="shared" si="3"/>
        <v>0.44403076171875</v>
      </c>
      <c r="L41" s="76"/>
      <c r="M41" s="101">
        <v>0</v>
      </c>
      <c r="N41" s="101">
        <v>0</v>
      </c>
      <c r="O41" s="102">
        <v>76.02</v>
      </c>
      <c r="P41" s="106"/>
    </row>
    <row r="42" spans="1:16" ht="16.5" customHeight="1" thickBot="1">
      <c r="A42" s="78">
        <v>10</v>
      </c>
      <c r="B42" s="83" t="s">
        <v>73</v>
      </c>
      <c r="C42" s="80">
        <v>1077</v>
      </c>
      <c r="D42" s="80">
        <v>237</v>
      </c>
      <c r="E42" s="80">
        <v>60</v>
      </c>
      <c r="F42" s="80">
        <v>40</v>
      </c>
      <c r="G42" s="81">
        <v>96.75750732421875</v>
      </c>
      <c r="H42" s="81">
        <v>96.18988037109375</v>
      </c>
      <c r="I42" s="81">
        <v>88.79852294921875</v>
      </c>
      <c r="J42" s="82">
        <f t="shared" si="2"/>
        <v>93.915303548177079</v>
      </c>
      <c r="K42" s="82">
        <f t="shared" si="3"/>
        <v>7.958984375</v>
      </c>
      <c r="L42" s="81"/>
      <c r="M42" s="103">
        <v>0</v>
      </c>
      <c r="N42" s="103">
        <v>0</v>
      </c>
      <c r="O42" s="104">
        <v>76.05</v>
      </c>
      <c r="P42" s="107"/>
    </row>
    <row r="43" spans="1:16" ht="16.5" customHeight="1">
      <c r="A43" s="75">
        <v>11</v>
      </c>
      <c r="B43" s="15" t="s">
        <v>73</v>
      </c>
      <c r="C43" s="7">
        <v>1093</v>
      </c>
      <c r="D43" s="7">
        <v>237</v>
      </c>
      <c r="E43" s="7">
        <v>60</v>
      </c>
      <c r="F43" s="7">
        <v>80</v>
      </c>
      <c r="G43" s="76">
        <v>97.50518798828125</v>
      </c>
      <c r="H43" s="76">
        <v>97.70660400390625</v>
      </c>
      <c r="I43" s="76">
        <v>97.4639892578125</v>
      </c>
      <c r="J43" s="77">
        <f t="shared" si="2"/>
        <v>97.55859375</v>
      </c>
      <c r="K43" s="77">
        <f t="shared" si="3"/>
        <v>0.24261474609375</v>
      </c>
      <c r="L43" s="76"/>
      <c r="M43" s="101">
        <v>0</v>
      </c>
      <c r="N43" s="101">
        <v>0</v>
      </c>
      <c r="O43" s="102">
        <v>76.989999999999995</v>
      </c>
      <c r="P43" s="105" t="s">
        <v>232</v>
      </c>
    </row>
    <row r="44" spans="1:16" ht="16.5" customHeight="1">
      <c r="A44" s="75">
        <v>11</v>
      </c>
      <c r="B44" s="15" t="s">
        <v>73</v>
      </c>
      <c r="C44" s="7">
        <v>1085</v>
      </c>
      <c r="D44" s="7">
        <v>237</v>
      </c>
      <c r="E44" s="7">
        <v>60</v>
      </c>
      <c r="F44" s="7">
        <v>80</v>
      </c>
      <c r="G44" s="76">
        <v>97.7508544921875</v>
      </c>
      <c r="H44" s="76">
        <v>96.978759765625</v>
      </c>
      <c r="I44" s="76">
        <v>96.08306884765625</v>
      </c>
      <c r="J44" s="77">
        <f t="shared" si="2"/>
        <v>96.93756103515625</v>
      </c>
      <c r="K44" s="77">
        <f t="shared" si="3"/>
        <v>1.66778564453125</v>
      </c>
      <c r="L44" s="76"/>
      <c r="M44" s="101">
        <v>0</v>
      </c>
      <c r="N44" s="101">
        <v>0</v>
      </c>
      <c r="O44" s="102">
        <v>76.81</v>
      </c>
      <c r="P44" s="106"/>
    </row>
    <row r="45" spans="1:16" ht="16.5" customHeight="1" thickBot="1">
      <c r="A45" s="78">
        <v>11</v>
      </c>
      <c r="B45" s="83" t="s">
        <v>73</v>
      </c>
      <c r="C45" s="80">
        <v>1087</v>
      </c>
      <c r="D45" s="80">
        <v>237</v>
      </c>
      <c r="E45" s="80">
        <v>60</v>
      </c>
      <c r="F45" s="80">
        <v>80</v>
      </c>
      <c r="G45" s="81">
        <v>96.70867919921875</v>
      </c>
      <c r="H45" s="81">
        <v>96.5911865234375</v>
      </c>
      <c r="I45" s="81">
        <v>96.68731689453125</v>
      </c>
      <c r="J45" s="82">
        <f t="shared" si="2"/>
        <v>96.662394205729171</v>
      </c>
      <c r="K45" s="82">
        <f t="shared" si="3"/>
        <v>0.11749267578125</v>
      </c>
      <c r="L45" s="81"/>
      <c r="M45" s="103">
        <v>0</v>
      </c>
      <c r="N45" s="103">
        <v>0</v>
      </c>
      <c r="O45" s="104">
        <v>76.900000000000006</v>
      </c>
      <c r="P45" s="107"/>
    </row>
    <row r="46" spans="1:16" ht="16.5" customHeight="1">
      <c r="A46" s="75">
        <v>12</v>
      </c>
      <c r="B46" s="15" t="s">
        <v>73</v>
      </c>
      <c r="C46" s="7">
        <v>1097</v>
      </c>
      <c r="D46" s="7">
        <v>237</v>
      </c>
      <c r="E46" s="7">
        <v>60</v>
      </c>
      <c r="F46" s="7">
        <v>60</v>
      </c>
      <c r="G46" s="76">
        <v>98.565673828125</v>
      </c>
      <c r="H46" s="76">
        <v>97.44720458984375</v>
      </c>
      <c r="I46" s="76">
        <v>96.97723388671875</v>
      </c>
      <c r="J46" s="77">
        <f t="shared" si="2"/>
        <v>97.663370768229171</v>
      </c>
      <c r="K46" s="77">
        <f t="shared" si="3"/>
        <v>1.58843994140625</v>
      </c>
      <c r="L46" s="76"/>
      <c r="M46" s="101">
        <v>0</v>
      </c>
      <c r="N46" s="101">
        <v>0</v>
      </c>
      <c r="O46" s="102">
        <v>76.650000000000006</v>
      </c>
      <c r="P46" s="105" t="s">
        <v>228</v>
      </c>
    </row>
    <row r="47" spans="1:16" ht="16.5" customHeight="1">
      <c r="A47" s="75">
        <v>12</v>
      </c>
      <c r="B47" s="15" t="s">
        <v>73</v>
      </c>
      <c r="C47" s="7">
        <v>1099</v>
      </c>
      <c r="D47" s="7">
        <v>237</v>
      </c>
      <c r="E47" s="7">
        <v>60</v>
      </c>
      <c r="F47" s="7">
        <v>60</v>
      </c>
      <c r="G47" s="76">
        <v>96.98944091796875</v>
      </c>
      <c r="H47" s="76">
        <v>97.65472412109375</v>
      </c>
      <c r="I47" s="76">
        <v>96.64154052734375</v>
      </c>
      <c r="J47" s="77">
        <f t="shared" si="2"/>
        <v>97.095235188802079</v>
      </c>
      <c r="K47" s="77">
        <f t="shared" si="3"/>
        <v>1.01318359375</v>
      </c>
      <c r="L47" s="76"/>
      <c r="M47" s="101">
        <v>0</v>
      </c>
      <c r="N47" s="101">
        <v>0</v>
      </c>
      <c r="O47" s="102">
        <v>76.599999999999994</v>
      </c>
      <c r="P47" s="106"/>
    </row>
    <row r="48" spans="1:16" ht="16.5" customHeight="1" thickBot="1">
      <c r="A48" s="78">
        <v>12</v>
      </c>
      <c r="B48" s="83" t="s">
        <v>73</v>
      </c>
      <c r="C48" s="80">
        <v>1101</v>
      </c>
      <c r="D48" s="80">
        <v>237</v>
      </c>
      <c r="E48" s="80">
        <v>60</v>
      </c>
      <c r="F48" s="80">
        <v>60</v>
      </c>
      <c r="G48" s="81">
        <v>96.6827392578125</v>
      </c>
      <c r="H48" s="81">
        <v>97.2198486328125</v>
      </c>
      <c r="I48" s="81">
        <v>96.08306884765625</v>
      </c>
      <c r="J48" s="82">
        <f t="shared" si="2"/>
        <v>96.661885579427079</v>
      </c>
      <c r="K48" s="82">
        <f t="shared" si="3"/>
        <v>1.13677978515625</v>
      </c>
      <c r="L48" s="81"/>
      <c r="M48" s="103">
        <v>0</v>
      </c>
      <c r="N48" s="103">
        <v>0</v>
      </c>
      <c r="O48" s="104">
        <v>76.459999999999994</v>
      </c>
      <c r="P48" s="107"/>
    </row>
    <row r="49" spans="1:16" ht="16.5" customHeight="1">
      <c r="A49" s="75">
        <v>13</v>
      </c>
      <c r="B49" s="15" t="s">
        <v>73</v>
      </c>
      <c r="C49" s="7">
        <v>1113</v>
      </c>
      <c r="D49" s="7">
        <v>250</v>
      </c>
      <c r="E49" s="7">
        <v>60</v>
      </c>
      <c r="F49" s="7">
        <v>20</v>
      </c>
      <c r="G49" s="76">
        <v>96.91314697265625</v>
      </c>
      <c r="H49" s="76">
        <v>93.975830078125</v>
      </c>
      <c r="I49" s="76">
        <v>91.4581298828125</v>
      </c>
      <c r="J49" s="77">
        <f t="shared" si="2"/>
        <v>94.115702311197921</v>
      </c>
      <c r="K49" s="77">
        <f t="shared" si="3"/>
        <v>5.45501708984375</v>
      </c>
      <c r="L49" s="76"/>
      <c r="M49" s="101">
        <v>0</v>
      </c>
      <c r="N49" s="101">
        <v>0</v>
      </c>
      <c r="O49" s="102">
        <v>75.3</v>
      </c>
      <c r="P49" s="105" t="s">
        <v>231</v>
      </c>
    </row>
    <row r="50" spans="1:16" ht="16.5" customHeight="1">
      <c r="A50" s="75">
        <v>13</v>
      </c>
      <c r="B50" s="15" t="s">
        <v>73</v>
      </c>
      <c r="C50" s="7">
        <v>1115</v>
      </c>
      <c r="D50" s="7">
        <v>250</v>
      </c>
      <c r="E50" s="7">
        <v>60</v>
      </c>
      <c r="F50" s="7">
        <v>20</v>
      </c>
      <c r="G50" s="76">
        <v>96.40655517578125</v>
      </c>
      <c r="H50" s="76">
        <v>93.6798095703125</v>
      </c>
      <c r="I50" s="76">
        <v>88.4063720703125</v>
      </c>
      <c r="J50" s="77">
        <f t="shared" si="2"/>
        <v>92.830912272135421</v>
      </c>
      <c r="K50" s="77">
        <f t="shared" si="3"/>
        <v>8.00018310546875</v>
      </c>
      <c r="L50" s="76"/>
      <c r="M50" s="101">
        <v>0</v>
      </c>
      <c r="N50" s="101">
        <v>0</v>
      </c>
      <c r="O50" s="102">
        <v>75.260000000000005</v>
      </c>
      <c r="P50" s="106"/>
    </row>
    <row r="51" spans="1:16" ht="16.5" customHeight="1">
      <c r="A51" s="75">
        <v>13</v>
      </c>
      <c r="B51" s="15" t="s">
        <v>73</v>
      </c>
      <c r="C51" s="7">
        <v>1117</v>
      </c>
      <c r="D51" s="7">
        <v>250</v>
      </c>
      <c r="E51" s="7">
        <v>60</v>
      </c>
      <c r="F51" s="7">
        <v>20</v>
      </c>
      <c r="G51" s="76">
        <v>95.39794921875</v>
      </c>
      <c r="H51" s="76">
        <v>93.8232421875</v>
      </c>
      <c r="I51" s="76">
        <v>81.18438720703125</v>
      </c>
      <c r="J51" s="77">
        <f t="shared" si="2"/>
        <v>90.13519287109375</v>
      </c>
      <c r="K51" s="77">
        <f t="shared" si="3"/>
        <v>14.21356201171875</v>
      </c>
      <c r="L51" s="76"/>
      <c r="M51" s="101">
        <v>0</v>
      </c>
      <c r="N51" s="101">
        <v>0</v>
      </c>
      <c r="O51" s="102">
        <v>75.260000000000005</v>
      </c>
      <c r="P51" s="106"/>
    </row>
    <row r="52" spans="1:16" ht="16.5" customHeight="1">
      <c r="A52" s="75">
        <v>13</v>
      </c>
      <c r="B52" s="24" t="s">
        <v>183</v>
      </c>
      <c r="C52" s="7">
        <v>1120</v>
      </c>
      <c r="D52" s="7">
        <v>250</v>
      </c>
      <c r="E52" s="7">
        <v>60</v>
      </c>
      <c r="F52" s="7">
        <v>20</v>
      </c>
      <c r="G52" s="76">
        <v>93.36395263671875</v>
      </c>
      <c r="H52" s="76">
        <v>97.2503662109375</v>
      </c>
      <c r="I52" s="76">
        <v>98.44970703125</v>
      </c>
      <c r="J52" s="77">
        <f t="shared" si="2"/>
        <v>96.35467529296875</v>
      </c>
      <c r="K52" s="77">
        <f t="shared" si="3"/>
        <v>5.08575439453125</v>
      </c>
      <c r="L52" s="76"/>
      <c r="M52" s="101">
        <v>0</v>
      </c>
      <c r="N52" s="101">
        <v>0</v>
      </c>
      <c r="O52" s="102">
        <v>75.06</v>
      </c>
      <c r="P52" s="106"/>
    </row>
    <row r="53" spans="1:16" ht="16.5" customHeight="1">
      <c r="A53" s="75">
        <v>13</v>
      </c>
      <c r="B53" s="24" t="s">
        <v>183</v>
      </c>
      <c r="C53" s="7">
        <v>1122</v>
      </c>
      <c r="D53" s="7">
        <v>250</v>
      </c>
      <c r="E53" s="7">
        <v>60</v>
      </c>
      <c r="F53" s="7">
        <v>20</v>
      </c>
      <c r="G53" s="76">
        <v>91.31927490234375</v>
      </c>
      <c r="H53" s="76">
        <v>93.85223388671875</v>
      </c>
      <c r="I53" s="76">
        <v>97.11151123046875</v>
      </c>
      <c r="J53" s="77">
        <f t="shared" si="2"/>
        <v>94.094340006510421</v>
      </c>
      <c r="K53" s="77">
        <f t="shared" si="3"/>
        <v>5.792236328125</v>
      </c>
      <c r="L53" s="76"/>
      <c r="M53" s="101">
        <v>0</v>
      </c>
      <c r="N53" s="101">
        <v>0</v>
      </c>
      <c r="O53" s="102">
        <v>75.22</v>
      </c>
      <c r="P53" s="106"/>
    </row>
    <row r="54" spans="1:16" ht="16.5" customHeight="1" thickBot="1">
      <c r="A54" s="78">
        <v>13</v>
      </c>
      <c r="B54" s="79" t="s">
        <v>183</v>
      </c>
      <c r="C54" s="80">
        <v>1124</v>
      </c>
      <c r="D54" s="80">
        <v>250</v>
      </c>
      <c r="E54" s="80">
        <v>60</v>
      </c>
      <c r="F54" s="80">
        <v>20</v>
      </c>
      <c r="G54" s="81">
        <v>92.94891357421875</v>
      </c>
      <c r="H54" s="81">
        <v>94.79827880859375</v>
      </c>
      <c r="I54" s="81">
        <v>96.63848876953125</v>
      </c>
      <c r="J54" s="82">
        <f t="shared" si="2"/>
        <v>94.79522705078125</v>
      </c>
      <c r="K54" s="82">
        <f t="shared" si="3"/>
        <v>3.6895751953125</v>
      </c>
      <c r="L54" s="81"/>
      <c r="M54" s="103">
        <v>0</v>
      </c>
      <c r="N54" s="103">
        <v>0</v>
      </c>
      <c r="O54" s="104">
        <v>75.22</v>
      </c>
      <c r="P54" s="107"/>
    </row>
    <row r="55" spans="1:16" ht="16.5" customHeight="1">
      <c r="A55" s="75">
        <v>14</v>
      </c>
      <c r="B55" s="15" t="s">
        <v>73</v>
      </c>
      <c r="C55" s="7">
        <v>1129</v>
      </c>
      <c r="D55" s="7">
        <v>250</v>
      </c>
      <c r="E55" s="7">
        <v>60</v>
      </c>
      <c r="F55" s="7">
        <v>80</v>
      </c>
      <c r="G55" s="76">
        <v>96.52099609375</v>
      </c>
      <c r="H55" s="76">
        <v>95.99151611328125</v>
      </c>
      <c r="I55" s="76">
        <v>95.92437744140625</v>
      </c>
      <c r="J55" s="77">
        <f t="shared" si="2"/>
        <v>96.1456298828125</v>
      </c>
      <c r="K55" s="77">
        <f t="shared" si="3"/>
        <v>0.59661865234375</v>
      </c>
      <c r="L55" s="76"/>
      <c r="M55" s="101">
        <v>0</v>
      </c>
      <c r="N55" s="101">
        <v>0</v>
      </c>
      <c r="O55" s="102">
        <v>76.47</v>
      </c>
      <c r="P55" s="105" t="s">
        <v>228</v>
      </c>
    </row>
    <row r="56" spans="1:16" ht="16.5" customHeight="1">
      <c r="A56" s="75">
        <v>14</v>
      </c>
      <c r="B56" s="15" t="s">
        <v>73</v>
      </c>
      <c r="C56" s="7">
        <v>1131</v>
      </c>
      <c r="D56" s="7">
        <v>250</v>
      </c>
      <c r="E56" s="7">
        <v>60</v>
      </c>
      <c r="F56" s="7">
        <v>80</v>
      </c>
      <c r="G56" s="76">
        <v>96.7742919921875</v>
      </c>
      <c r="H56" s="76">
        <v>97.747802734375</v>
      </c>
      <c r="I56" s="76">
        <v>96.820068359375</v>
      </c>
      <c r="J56" s="77">
        <f t="shared" si="2"/>
        <v>97.114054361979171</v>
      </c>
      <c r="K56" s="77">
        <f t="shared" si="3"/>
        <v>0.9735107421875</v>
      </c>
      <c r="L56" s="76"/>
      <c r="M56" s="101">
        <v>0</v>
      </c>
      <c r="N56" s="101">
        <v>0</v>
      </c>
      <c r="O56" s="102">
        <v>76.040000000000006</v>
      </c>
      <c r="P56" s="106"/>
    </row>
    <row r="57" spans="1:16" ht="16.5" customHeight="1">
      <c r="A57" s="75">
        <v>14</v>
      </c>
      <c r="B57" s="15" t="s">
        <v>73</v>
      </c>
      <c r="C57" s="7">
        <v>1133</v>
      </c>
      <c r="D57" s="7">
        <v>250</v>
      </c>
      <c r="E57" s="7">
        <v>60</v>
      </c>
      <c r="F57" s="7">
        <v>80</v>
      </c>
      <c r="G57" s="76">
        <v>95.34759521484375</v>
      </c>
      <c r="H57" s="76">
        <v>97.3388671875</v>
      </c>
      <c r="I57" s="76">
        <v>94.61669921875</v>
      </c>
      <c r="J57" s="77">
        <f t="shared" si="2"/>
        <v>95.767720540364579</v>
      </c>
      <c r="K57" s="77">
        <f t="shared" si="3"/>
        <v>2.72216796875</v>
      </c>
      <c r="L57" s="76"/>
      <c r="M57" s="101">
        <v>0</v>
      </c>
      <c r="N57" s="101">
        <v>0</v>
      </c>
      <c r="O57" s="102">
        <v>76.14</v>
      </c>
      <c r="P57" s="106"/>
    </row>
    <row r="58" spans="1:16" ht="16.5" customHeight="1">
      <c r="A58" s="75">
        <v>14</v>
      </c>
      <c r="B58" s="24" t="s">
        <v>183</v>
      </c>
      <c r="C58" s="7">
        <v>1136</v>
      </c>
      <c r="D58" s="7">
        <v>250</v>
      </c>
      <c r="E58" s="7">
        <v>60</v>
      </c>
      <c r="F58" s="7">
        <v>80</v>
      </c>
      <c r="G58" s="76"/>
      <c r="H58" s="76"/>
      <c r="I58" s="76"/>
      <c r="J58" s="77" t="str">
        <f t="shared" si="2"/>
        <v/>
      </c>
      <c r="K58" s="77" t="str">
        <f t="shared" si="3"/>
        <v/>
      </c>
      <c r="L58" s="76"/>
      <c r="M58" s="101">
        <v>0</v>
      </c>
      <c r="N58" s="101">
        <v>0</v>
      </c>
      <c r="O58" s="102">
        <v>76.11</v>
      </c>
      <c r="P58" s="106"/>
    </row>
    <row r="59" spans="1:16" ht="16.5" customHeight="1">
      <c r="A59" s="75">
        <v>14</v>
      </c>
      <c r="B59" s="24" t="s">
        <v>183</v>
      </c>
      <c r="C59" s="7">
        <v>1138</v>
      </c>
      <c r="D59" s="7">
        <v>250</v>
      </c>
      <c r="E59" s="7">
        <v>60</v>
      </c>
      <c r="F59" s="7">
        <v>80</v>
      </c>
      <c r="G59" s="76"/>
      <c r="H59" s="76"/>
      <c r="I59" s="76"/>
      <c r="J59" s="77" t="str">
        <f t="shared" si="2"/>
        <v/>
      </c>
      <c r="K59" s="77" t="str">
        <f t="shared" si="3"/>
        <v/>
      </c>
      <c r="L59" s="76"/>
      <c r="M59" s="101">
        <v>0</v>
      </c>
      <c r="N59" s="101">
        <v>0</v>
      </c>
      <c r="O59" s="102">
        <v>76.09</v>
      </c>
      <c r="P59" s="106"/>
    </row>
    <row r="60" spans="1:16" ht="16.5" customHeight="1" thickBot="1">
      <c r="A60" s="78">
        <v>14</v>
      </c>
      <c r="B60" s="79" t="s">
        <v>183</v>
      </c>
      <c r="C60" s="80">
        <v>1140</v>
      </c>
      <c r="D60" s="80">
        <v>250</v>
      </c>
      <c r="E60" s="80">
        <v>60</v>
      </c>
      <c r="F60" s="80">
        <v>80</v>
      </c>
      <c r="G60" s="81"/>
      <c r="H60" s="81"/>
      <c r="I60" s="81"/>
      <c r="J60" s="82" t="str">
        <f t="shared" si="2"/>
        <v/>
      </c>
      <c r="K60" s="82" t="str">
        <f t="shared" si="3"/>
        <v/>
      </c>
      <c r="L60" s="81"/>
      <c r="M60" s="103">
        <v>0</v>
      </c>
      <c r="N60" s="103">
        <v>0</v>
      </c>
      <c r="O60" s="104">
        <v>76.11</v>
      </c>
      <c r="P60" s="107"/>
    </row>
    <row r="61" spans="1:16" ht="16.5" customHeight="1">
      <c r="A61" s="75">
        <v>15</v>
      </c>
      <c r="B61" s="15" t="s">
        <v>73</v>
      </c>
      <c r="C61" s="7">
        <v>1143</v>
      </c>
      <c r="D61" s="7">
        <v>250</v>
      </c>
      <c r="E61" s="7">
        <v>60</v>
      </c>
      <c r="F61" s="7">
        <v>60</v>
      </c>
      <c r="G61" s="76">
        <v>98.03466796875</v>
      </c>
      <c r="H61" s="76">
        <v>97.47772216796875</v>
      </c>
      <c r="I61" s="76">
        <v>93.8201904296875</v>
      </c>
      <c r="J61" s="77">
        <f t="shared" si="2"/>
        <v>96.444193522135421</v>
      </c>
      <c r="K61" s="77">
        <f t="shared" si="3"/>
        <v>4.2144775390625</v>
      </c>
      <c r="L61" s="76"/>
      <c r="M61" s="101">
        <v>0</v>
      </c>
      <c r="N61" s="101">
        <v>0</v>
      </c>
      <c r="O61" s="102">
        <v>76.05</v>
      </c>
      <c r="P61" s="105" t="s">
        <v>230</v>
      </c>
    </row>
    <row r="62" spans="1:16" ht="16.5" customHeight="1">
      <c r="A62" s="75">
        <v>15</v>
      </c>
      <c r="B62" s="15" t="s">
        <v>73</v>
      </c>
      <c r="C62" s="7">
        <v>1145</v>
      </c>
      <c r="D62" s="7">
        <v>250</v>
      </c>
      <c r="E62" s="7">
        <v>60</v>
      </c>
      <c r="F62" s="7">
        <v>60</v>
      </c>
      <c r="G62" s="76">
        <v>97.93853759765625</v>
      </c>
      <c r="H62" s="76">
        <v>97.13134765625</v>
      </c>
      <c r="I62" s="76">
        <v>94.68841552734375</v>
      </c>
      <c r="J62" s="77">
        <f t="shared" si="2"/>
        <v>96.586100260416671</v>
      </c>
      <c r="K62" s="77">
        <f t="shared" si="3"/>
        <v>3.2501220703125</v>
      </c>
      <c r="L62" s="76"/>
      <c r="M62" s="101">
        <v>0</v>
      </c>
      <c r="N62" s="101">
        <v>0</v>
      </c>
      <c r="O62" s="102">
        <v>75.900000000000006</v>
      </c>
      <c r="P62" s="106"/>
    </row>
    <row r="63" spans="1:16" ht="16.5" customHeight="1" thickBot="1">
      <c r="A63" s="78">
        <v>15</v>
      </c>
      <c r="B63" s="83" t="s">
        <v>73</v>
      </c>
      <c r="C63" s="80">
        <v>1147</v>
      </c>
      <c r="D63" s="80">
        <v>250</v>
      </c>
      <c r="E63" s="80">
        <v>60</v>
      </c>
      <c r="F63" s="80">
        <v>60</v>
      </c>
      <c r="G63" s="81">
        <v>97.99652099609375</v>
      </c>
      <c r="H63" s="81">
        <v>97.34954833984375</v>
      </c>
      <c r="I63" s="81">
        <v>96.8475341796875</v>
      </c>
      <c r="J63" s="82">
        <f t="shared" si="2"/>
        <v>97.397867838541671</v>
      </c>
      <c r="K63" s="82">
        <f t="shared" si="3"/>
        <v>1.14898681640625</v>
      </c>
      <c r="L63" s="81"/>
      <c r="M63" s="103">
        <v>0</v>
      </c>
      <c r="N63" s="103">
        <v>0</v>
      </c>
      <c r="O63" s="104">
        <v>75.95</v>
      </c>
      <c r="P63" s="107"/>
    </row>
    <row r="64" spans="1:16" ht="16.5" customHeight="1">
      <c r="A64" s="75">
        <v>16</v>
      </c>
      <c r="B64" s="15" t="s">
        <v>73</v>
      </c>
      <c r="C64" s="7">
        <v>1153</v>
      </c>
      <c r="D64" s="7">
        <v>250</v>
      </c>
      <c r="E64" s="7">
        <v>60</v>
      </c>
      <c r="F64" s="7">
        <v>40</v>
      </c>
      <c r="G64" s="76">
        <v>99.30267333984375</v>
      </c>
      <c r="H64" s="76">
        <v>98.382568359375</v>
      </c>
      <c r="I64" s="76">
        <v>94.2779541015625</v>
      </c>
      <c r="J64" s="77">
        <f t="shared" si="2"/>
        <v>97.321065266927079</v>
      </c>
      <c r="K64" s="77">
        <f t="shared" si="3"/>
        <v>5.02471923828125</v>
      </c>
      <c r="L64" s="76"/>
      <c r="M64" s="101">
        <v>0</v>
      </c>
      <c r="N64" s="101">
        <v>0</v>
      </c>
      <c r="O64" s="102">
        <v>75.53</v>
      </c>
      <c r="P64" s="105" t="s">
        <v>235</v>
      </c>
    </row>
    <row r="65" spans="1:16" ht="16.5" customHeight="1">
      <c r="A65" s="75">
        <v>16</v>
      </c>
      <c r="B65" s="15" t="s">
        <v>73</v>
      </c>
      <c r="C65" s="7">
        <v>1155</v>
      </c>
      <c r="D65" s="7">
        <v>250</v>
      </c>
      <c r="E65" s="7">
        <v>60</v>
      </c>
      <c r="F65" s="7">
        <v>40</v>
      </c>
      <c r="G65" s="76">
        <v>96.84906005859375</v>
      </c>
      <c r="H65" s="76">
        <v>96.77276611328125</v>
      </c>
      <c r="I65" s="76">
        <v>92.73834228515625</v>
      </c>
      <c r="J65" s="77">
        <f t="shared" si="2"/>
        <v>95.453389485677079</v>
      </c>
      <c r="K65" s="77">
        <f t="shared" si="3"/>
        <v>4.1107177734375</v>
      </c>
      <c r="L65" s="76"/>
      <c r="M65" s="101">
        <v>0</v>
      </c>
      <c r="N65" s="101">
        <v>0</v>
      </c>
      <c r="O65" s="102">
        <v>75.62</v>
      </c>
      <c r="P65" s="106"/>
    </row>
    <row r="66" spans="1:16" ht="16.5" customHeight="1" thickBot="1">
      <c r="A66" s="78">
        <v>16</v>
      </c>
      <c r="B66" s="83" t="s">
        <v>73</v>
      </c>
      <c r="C66" s="80">
        <v>1157</v>
      </c>
      <c r="D66" s="80">
        <v>250</v>
      </c>
      <c r="E66" s="80">
        <v>60</v>
      </c>
      <c r="F66" s="80">
        <v>40</v>
      </c>
      <c r="G66" s="81">
        <v>98.03314208984375</v>
      </c>
      <c r="H66" s="81">
        <v>97.216796875</v>
      </c>
      <c r="I66" s="81">
        <v>93.4661865234375</v>
      </c>
      <c r="J66" s="82">
        <f t="shared" si="2"/>
        <v>96.23870849609375</v>
      </c>
      <c r="K66" s="82">
        <f t="shared" si="3"/>
        <v>4.56695556640625</v>
      </c>
      <c r="L66" s="81"/>
      <c r="M66" s="103">
        <v>0</v>
      </c>
      <c r="N66" s="103">
        <v>0</v>
      </c>
      <c r="O66" s="104">
        <v>75.680000000000007</v>
      </c>
      <c r="P66" s="107"/>
    </row>
    <row r="67" spans="1:16" ht="16.5" customHeight="1">
      <c r="A67" s="75">
        <v>17</v>
      </c>
      <c r="B67" s="15" t="s">
        <v>73</v>
      </c>
      <c r="C67" s="7">
        <v>1211</v>
      </c>
      <c r="D67" s="7">
        <v>250</v>
      </c>
      <c r="E67" s="68">
        <v>40</v>
      </c>
      <c r="F67" s="7">
        <v>80</v>
      </c>
      <c r="G67" s="76">
        <v>97.70965576171875</v>
      </c>
      <c r="H67" s="76">
        <v>97.36480712890625</v>
      </c>
      <c r="I67" s="76">
        <v>96.42486572265625</v>
      </c>
      <c r="J67" s="77">
        <f t="shared" si="2"/>
        <v>97.16644287109375</v>
      </c>
      <c r="K67" s="77">
        <f t="shared" si="3"/>
        <v>1.2847900390625</v>
      </c>
      <c r="L67" s="76"/>
      <c r="M67" s="101">
        <v>0</v>
      </c>
      <c r="N67" s="101">
        <v>0</v>
      </c>
      <c r="O67" s="102">
        <v>77.150000000000006</v>
      </c>
      <c r="P67" s="105" t="s">
        <v>228</v>
      </c>
    </row>
    <row r="68" spans="1:16" ht="16.5" customHeight="1">
      <c r="A68" s="75">
        <v>17</v>
      </c>
      <c r="B68" s="15" t="s">
        <v>73</v>
      </c>
      <c r="C68" s="7">
        <v>1213</v>
      </c>
      <c r="D68" s="7">
        <v>250</v>
      </c>
      <c r="E68" s="68">
        <v>40</v>
      </c>
      <c r="F68" s="7">
        <v>80</v>
      </c>
      <c r="G68" s="76">
        <v>96.83685302734375</v>
      </c>
      <c r="H68" s="76">
        <v>96.5179443359375</v>
      </c>
      <c r="I68" s="76">
        <v>95.95184326171875</v>
      </c>
      <c r="J68" s="77">
        <f t="shared" si="2"/>
        <v>96.435546875</v>
      </c>
      <c r="K68" s="77">
        <f t="shared" si="3"/>
        <v>0.885009765625</v>
      </c>
      <c r="L68" s="76"/>
      <c r="M68" s="101">
        <v>0</v>
      </c>
      <c r="N68" s="101">
        <v>0</v>
      </c>
      <c r="O68" s="102">
        <v>77.099999999999994</v>
      </c>
      <c r="P68" s="106"/>
    </row>
    <row r="69" spans="1:16" ht="16.5" customHeight="1" thickBot="1">
      <c r="A69" s="78">
        <v>17</v>
      </c>
      <c r="B69" s="83" t="s">
        <v>73</v>
      </c>
      <c r="C69" s="80">
        <v>1215</v>
      </c>
      <c r="D69" s="80">
        <v>250</v>
      </c>
      <c r="E69" s="84">
        <v>40</v>
      </c>
      <c r="F69" s="80">
        <v>80</v>
      </c>
      <c r="G69" s="81">
        <v>97.07489013671875</v>
      </c>
      <c r="H69" s="81">
        <v>96.76513671875</v>
      </c>
      <c r="I69" s="81">
        <v>95.6329345703125</v>
      </c>
      <c r="J69" s="82">
        <f t="shared" si="2"/>
        <v>96.490987141927079</v>
      </c>
      <c r="K69" s="82">
        <f t="shared" si="3"/>
        <v>1.44195556640625</v>
      </c>
      <c r="L69" s="81"/>
      <c r="M69" s="103">
        <v>0</v>
      </c>
      <c r="N69" s="103">
        <v>0</v>
      </c>
      <c r="O69" s="104">
        <v>77.010000000000005</v>
      </c>
      <c r="P69" s="107"/>
    </row>
    <row r="70" spans="1:16" ht="16.5" customHeight="1">
      <c r="A70" s="75">
        <v>18</v>
      </c>
      <c r="B70" s="15" t="s">
        <v>73</v>
      </c>
      <c r="C70" s="7">
        <v>1199</v>
      </c>
      <c r="D70" s="7">
        <v>237</v>
      </c>
      <c r="E70" s="68">
        <v>40</v>
      </c>
      <c r="F70" s="7">
        <v>80</v>
      </c>
      <c r="G70" s="76">
        <v>96.905517578125</v>
      </c>
      <c r="H70" s="76">
        <v>96.728515625</v>
      </c>
      <c r="I70" s="76">
        <v>97.1466064453125</v>
      </c>
      <c r="J70" s="77">
        <f t="shared" si="2"/>
        <v>96.9268798828125</v>
      </c>
      <c r="K70" s="77">
        <f t="shared" si="3"/>
        <v>0.4180908203125</v>
      </c>
      <c r="L70" s="76"/>
      <c r="M70" s="101">
        <v>0</v>
      </c>
      <c r="N70" s="101">
        <v>0</v>
      </c>
      <c r="O70" s="102">
        <v>78.27</v>
      </c>
      <c r="P70" s="105" t="s">
        <v>227</v>
      </c>
    </row>
    <row r="71" spans="1:16" ht="16.5" customHeight="1">
      <c r="A71" s="75">
        <v>18</v>
      </c>
      <c r="B71" s="15" t="s">
        <v>73</v>
      </c>
      <c r="C71" s="7">
        <v>1201</v>
      </c>
      <c r="D71" s="7">
        <v>237</v>
      </c>
      <c r="E71" s="68">
        <v>40</v>
      </c>
      <c r="F71" s="7">
        <v>80</v>
      </c>
      <c r="G71" s="76">
        <v>96.71173095703125</v>
      </c>
      <c r="H71" s="76">
        <v>97.137451171875</v>
      </c>
      <c r="I71" s="76">
        <v>95.941162109375</v>
      </c>
      <c r="J71" s="77">
        <f t="shared" ref="J71:J78" si="4">IF(COUNT(G71:I71)=0,"",AVERAGE(G71:I71))</f>
        <v>96.596781412760421</v>
      </c>
      <c r="K71" s="77">
        <f t="shared" ref="K71:K78" si="5">IF(COUNT(G71:I71)&lt;2,"",MAX(G71:I71)-MIN(G71:I71))</f>
        <v>1.1962890625</v>
      </c>
      <c r="L71" s="76"/>
      <c r="M71" s="101">
        <v>0</v>
      </c>
      <c r="N71" s="101">
        <v>0</v>
      </c>
      <c r="O71" s="102">
        <v>78.17</v>
      </c>
      <c r="P71" s="106"/>
    </row>
    <row r="72" spans="1:16" ht="16.5" customHeight="1" thickBot="1">
      <c r="A72" s="78">
        <v>18</v>
      </c>
      <c r="B72" s="83" t="s">
        <v>73</v>
      </c>
      <c r="C72" s="80">
        <v>1203</v>
      </c>
      <c r="D72" s="80">
        <v>237</v>
      </c>
      <c r="E72" s="84">
        <v>40</v>
      </c>
      <c r="F72" s="80">
        <v>80</v>
      </c>
      <c r="G72" s="81">
        <v>98.3428955078125</v>
      </c>
      <c r="H72" s="81">
        <v>96.49505615234375</v>
      </c>
      <c r="I72" s="81">
        <v>95.67718505859375</v>
      </c>
      <c r="J72" s="82">
        <f t="shared" si="4"/>
        <v>96.83837890625</v>
      </c>
      <c r="K72" s="82">
        <f t="shared" si="5"/>
        <v>2.66571044921875</v>
      </c>
      <c r="L72" s="81"/>
      <c r="M72" s="103">
        <v>0</v>
      </c>
      <c r="N72" s="103">
        <v>0</v>
      </c>
      <c r="O72" s="104">
        <v>78.23</v>
      </c>
      <c r="P72" s="107"/>
    </row>
    <row r="73" spans="1:16" ht="16.5" customHeight="1">
      <c r="A73" s="75">
        <v>19</v>
      </c>
      <c r="B73" s="15" t="s">
        <v>73</v>
      </c>
      <c r="C73" s="7">
        <v>1187</v>
      </c>
      <c r="D73" s="7">
        <v>223</v>
      </c>
      <c r="E73" s="68">
        <v>40</v>
      </c>
      <c r="F73" s="7">
        <v>80</v>
      </c>
      <c r="G73" s="76">
        <v>97.00927734375</v>
      </c>
      <c r="H73" s="76">
        <v>96.19293212890625</v>
      </c>
      <c r="I73" s="76">
        <v>95.947265625</v>
      </c>
      <c r="J73" s="77">
        <f t="shared" si="4"/>
        <v>96.383158365885421</v>
      </c>
      <c r="K73" s="77">
        <f t="shared" si="5"/>
        <v>1.06201171875</v>
      </c>
      <c r="L73" s="76"/>
      <c r="M73" s="101">
        <v>1</v>
      </c>
      <c r="N73" s="101">
        <v>0</v>
      </c>
      <c r="O73" s="102">
        <v>79.900000000000006</v>
      </c>
      <c r="P73" s="105" t="s">
        <v>226</v>
      </c>
    </row>
    <row r="74" spans="1:16" ht="16.5" customHeight="1">
      <c r="A74" s="75">
        <v>19</v>
      </c>
      <c r="B74" s="15" t="s">
        <v>73</v>
      </c>
      <c r="C74" s="7">
        <v>1189</v>
      </c>
      <c r="D74" s="7">
        <v>223</v>
      </c>
      <c r="E74" s="68">
        <v>40</v>
      </c>
      <c r="F74" s="7">
        <v>80</v>
      </c>
      <c r="G74" s="76">
        <v>97.4334716796875</v>
      </c>
      <c r="H74" s="76">
        <v>96.734619140625</v>
      </c>
      <c r="I74" s="76">
        <v>95.77789306640625</v>
      </c>
      <c r="J74" s="77">
        <f t="shared" si="4"/>
        <v>96.648661295572921</v>
      </c>
      <c r="K74" s="77">
        <f t="shared" si="5"/>
        <v>1.65557861328125</v>
      </c>
      <c r="L74" s="76"/>
      <c r="M74" s="101">
        <v>1</v>
      </c>
      <c r="N74" s="101">
        <v>0</v>
      </c>
      <c r="O74" s="102">
        <v>79.989999999999995</v>
      </c>
      <c r="P74" s="106"/>
    </row>
    <row r="75" spans="1:16" ht="16.5" customHeight="1" thickBot="1">
      <c r="A75" s="78">
        <v>19</v>
      </c>
      <c r="B75" s="83" t="s">
        <v>73</v>
      </c>
      <c r="C75" s="80">
        <v>1191</v>
      </c>
      <c r="D75" s="80">
        <v>223</v>
      </c>
      <c r="E75" s="84">
        <v>40</v>
      </c>
      <c r="F75" s="80">
        <v>80</v>
      </c>
      <c r="G75" s="81">
        <v>96.826171875</v>
      </c>
      <c r="H75" s="81">
        <v>95.6787109375</v>
      </c>
      <c r="I75" s="81">
        <v>96.21429443359375</v>
      </c>
      <c r="J75" s="82">
        <f t="shared" si="4"/>
        <v>96.239725748697921</v>
      </c>
      <c r="K75" s="82">
        <f t="shared" si="5"/>
        <v>1.1474609375</v>
      </c>
      <c r="L75" s="81"/>
      <c r="M75" s="103">
        <v>1</v>
      </c>
      <c r="N75" s="103">
        <v>0</v>
      </c>
      <c r="O75" s="104">
        <v>79.930000000000007</v>
      </c>
      <c r="P75" s="107"/>
    </row>
    <row r="76" spans="1:16" ht="16.5" customHeight="1">
      <c r="A76" s="75">
        <v>20</v>
      </c>
      <c r="B76" s="15" t="s">
        <v>73</v>
      </c>
      <c r="C76" s="7">
        <v>1173</v>
      </c>
      <c r="D76" s="7">
        <v>210</v>
      </c>
      <c r="E76" s="68">
        <v>40</v>
      </c>
      <c r="F76" s="7">
        <v>80</v>
      </c>
      <c r="G76" s="76">
        <v>97.49298095703125</v>
      </c>
      <c r="H76" s="76">
        <v>96.09375</v>
      </c>
      <c r="I76" s="76">
        <v>95.75653076171875</v>
      </c>
      <c r="J76" s="77">
        <f t="shared" si="4"/>
        <v>96.44775390625</v>
      </c>
      <c r="K76" s="77">
        <f t="shared" si="5"/>
        <v>1.7364501953125</v>
      </c>
      <c r="L76" s="76"/>
      <c r="M76" s="101">
        <v>1</v>
      </c>
      <c r="N76" s="101">
        <v>0</v>
      </c>
      <c r="O76" s="102">
        <v>81.78</v>
      </c>
      <c r="P76" s="105" t="s">
        <v>225</v>
      </c>
    </row>
    <row r="77" spans="1:16" ht="16.5" customHeight="1">
      <c r="A77" s="75">
        <v>20</v>
      </c>
      <c r="B77" s="15" t="s">
        <v>73</v>
      </c>
      <c r="C77" s="7">
        <v>1175</v>
      </c>
      <c r="D77" s="7">
        <v>210</v>
      </c>
      <c r="E77" s="68">
        <v>40</v>
      </c>
      <c r="F77" s="7">
        <v>80</v>
      </c>
      <c r="G77" s="76">
        <v>98.16436767578125</v>
      </c>
      <c r="H77" s="76">
        <v>97.47314453125</v>
      </c>
      <c r="I77" s="76">
        <v>95.07598876953125</v>
      </c>
      <c r="J77" s="77">
        <f t="shared" si="4"/>
        <v>96.904500325520829</v>
      </c>
      <c r="K77" s="77">
        <f t="shared" si="5"/>
        <v>3.08837890625</v>
      </c>
      <c r="L77" s="76"/>
      <c r="M77" s="101">
        <v>1</v>
      </c>
      <c r="N77" s="101">
        <v>0</v>
      </c>
      <c r="O77" s="102">
        <v>81.95</v>
      </c>
      <c r="P77" s="106"/>
    </row>
    <row r="78" spans="1:16" ht="16.5" customHeight="1" thickBot="1">
      <c r="A78" s="78">
        <v>20</v>
      </c>
      <c r="B78" s="83" t="s">
        <v>73</v>
      </c>
      <c r="C78" s="80">
        <v>1177</v>
      </c>
      <c r="D78" s="80">
        <v>210</v>
      </c>
      <c r="E78" s="84">
        <v>40</v>
      </c>
      <c r="F78" s="80">
        <v>80</v>
      </c>
      <c r="G78" s="81">
        <v>97.4853515625</v>
      </c>
      <c r="H78" s="81">
        <v>97.0550537109375</v>
      </c>
      <c r="I78" s="81">
        <v>92.840576171875</v>
      </c>
      <c r="J78" s="82">
        <f t="shared" si="4"/>
        <v>95.793660481770829</v>
      </c>
      <c r="K78" s="82">
        <f t="shared" si="5"/>
        <v>4.644775390625</v>
      </c>
      <c r="L78" s="81"/>
      <c r="M78" s="103">
        <v>1</v>
      </c>
      <c r="N78" s="103">
        <v>0</v>
      </c>
      <c r="O78" s="104">
        <v>81.760000000000005</v>
      </c>
      <c r="P78" s="107"/>
    </row>
    <row r="80" spans="1:16">
      <c r="A80" s="1" t="s">
        <v>184</v>
      </c>
      <c r="B80" s="65" t="s">
        <v>185</v>
      </c>
      <c r="D80" s="65">
        <f>COUNT(G7:I78)</f>
        <v>207</v>
      </c>
      <c r="E80" s="85" t="s">
        <v>186</v>
      </c>
    </row>
    <row r="81" spans="2:5">
      <c r="B81" s="65" t="s">
        <v>187</v>
      </c>
      <c r="D81" s="85">
        <f>COUNT(L7:L78)</f>
        <v>0</v>
      </c>
      <c r="E81" s="85" t="s">
        <v>188</v>
      </c>
    </row>
  </sheetData>
  <mergeCells count="20">
    <mergeCell ref="P13:P15"/>
    <mergeCell ref="P7:P12"/>
    <mergeCell ref="P34:P36"/>
    <mergeCell ref="P31:P33"/>
    <mergeCell ref="P28:P30"/>
    <mergeCell ref="P25:P27"/>
    <mergeCell ref="P19:P24"/>
    <mergeCell ref="P16:P18"/>
    <mergeCell ref="P37:P39"/>
    <mergeCell ref="P76:P78"/>
    <mergeCell ref="P73:P75"/>
    <mergeCell ref="P70:P72"/>
    <mergeCell ref="P67:P69"/>
    <mergeCell ref="P64:P66"/>
    <mergeCell ref="P61:P63"/>
    <mergeCell ref="P55:P60"/>
    <mergeCell ref="P49:P54"/>
    <mergeCell ref="P46:P48"/>
    <mergeCell ref="P43:P45"/>
    <mergeCell ref="P40:P42"/>
  </mergeCells>
  <phoneticPr fontId="19" type="noConversion"/>
  <dataValidations count="2">
    <dataValidation type="list" allowBlank="1" showErrorMessage="1" errorTitle="입력 오류" error="발생 1 또는 미발생 0만 입력하세요." sqref="M7:N78" xr:uid="{C10985A2-4AFC-2E41-AB8E-C80AB3091820}">
      <formula1>"0,1"</formula1>
      <formula2>0</formula2>
    </dataValidation>
    <dataValidation type="decimal" allowBlank="1" showErrorMessage="1" errorTitle="입력 오류" error="함침율은 0–100 (%) 범위로 입력하세요." sqref="G7:I78" xr:uid="{00000000-0002-0000-0300-000001000000}">
      <formula1>0</formula1>
      <formula2>100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9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7109375" defaultRowHeight="15"/>
  <cols>
    <col min="1" max="2" width="7" customWidth="1"/>
    <col min="3" max="3" width="8" customWidth="1"/>
    <col min="4" max="4" width="16" customWidth="1"/>
    <col min="5" max="5" width="10" customWidth="1"/>
    <col min="6" max="7" width="9" customWidth="1"/>
    <col min="8" max="8" width="7" customWidth="1"/>
    <col min="9" max="9" width="6" customWidth="1"/>
    <col min="10" max="10" width="7" customWidth="1"/>
    <col min="11" max="11" width="6" customWidth="1"/>
    <col min="12" max="13" width="10" customWidth="1"/>
    <col min="14" max="14" width="12" customWidth="1"/>
    <col min="15" max="15" width="11" customWidth="1"/>
    <col min="16" max="17" width="8" customWidth="1"/>
    <col min="18" max="18" width="10" customWidth="1"/>
    <col min="19" max="19" width="11" customWidth="1"/>
    <col min="20" max="20" width="12" customWidth="1"/>
    <col min="21" max="21" width="11" customWidth="1"/>
  </cols>
  <sheetData>
    <row r="1" spans="1:21" ht="20.25">
      <c r="A1" s="3" t="s">
        <v>189</v>
      </c>
    </row>
    <row r="2" spans="1:21">
      <c r="A2" s="21" t="s">
        <v>190</v>
      </c>
    </row>
    <row r="4" spans="1:21" ht="36" customHeight="1">
      <c r="A4" s="5" t="s">
        <v>114</v>
      </c>
      <c r="B4" s="5" t="s">
        <v>115</v>
      </c>
      <c r="C4" s="5" t="s">
        <v>170</v>
      </c>
      <c r="D4" s="5" t="s">
        <v>191</v>
      </c>
      <c r="E4" s="5" t="s">
        <v>118</v>
      </c>
      <c r="F4" s="5" t="s">
        <v>119</v>
      </c>
      <c r="G4" s="5" t="s">
        <v>120</v>
      </c>
      <c r="H4" s="2" t="s">
        <v>121</v>
      </c>
      <c r="I4" s="2" t="s">
        <v>122</v>
      </c>
      <c r="J4" s="2" t="s">
        <v>123</v>
      </c>
      <c r="K4" s="5" t="s">
        <v>192</v>
      </c>
      <c r="L4" s="5" t="s">
        <v>193</v>
      </c>
      <c r="M4" s="66" t="s">
        <v>175</v>
      </c>
      <c r="N4" s="66" t="s">
        <v>194</v>
      </c>
      <c r="O4" s="66" t="s">
        <v>195</v>
      </c>
      <c r="P4" s="66" t="s">
        <v>196</v>
      </c>
      <c r="Q4" s="66" t="s">
        <v>197</v>
      </c>
      <c r="R4" s="66" t="s">
        <v>198</v>
      </c>
      <c r="S4" s="86" t="s">
        <v>199</v>
      </c>
      <c r="T4" s="86" t="s">
        <v>200</v>
      </c>
      <c r="U4" s="86" t="s">
        <v>201</v>
      </c>
    </row>
    <row r="5" spans="1:21">
      <c r="A5" s="75">
        <v>1</v>
      </c>
      <c r="B5" s="7">
        <v>1</v>
      </c>
      <c r="C5" s="15" t="s">
        <v>73</v>
      </c>
      <c r="D5" s="7" t="s">
        <v>202</v>
      </c>
      <c r="E5" s="7">
        <v>210</v>
      </c>
      <c r="F5" s="7">
        <v>60</v>
      </c>
      <c r="G5" s="7">
        <v>20</v>
      </c>
      <c r="H5" s="87">
        <v>-1</v>
      </c>
      <c r="I5" s="87">
        <v>1</v>
      </c>
      <c r="J5" s="87">
        <v>-1</v>
      </c>
      <c r="K5" s="7">
        <v>1</v>
      </c>
      <c r="L5" s="88">
        <f>COUNTIFS('데이터 기록표'!$A$7:$A$78,$A5,'데이터 기록표'!$B$7:$B$78,$C5,'데이터 기록표'!$G$7:$G$78,"&lt;&gt;")</f>
        <v>3</v>
      </c>
      <c r="M5" s="77">
        <f>IFERROR(AVERAGEIFS('데이터 기록표'!$J$7:$J$78,'데이터 기록표'!$A$7:$A$78,$A5,'데이터 기록표'!$B$7:$B$78,$C5),"")</f>
        <v>89.125230577256943</v>
      </c>
      <c r="N5" s="77">
        <f>IFERROR(AVERAGEIFS('데이터 기록표'!$K$7:$K$78,'데이터 기록표'!$A$7:$A$78,$A5,'데이터 기록표'!$B$7:$B$78,$C5),"")</f>
        <v>20.73974609375</v>
      </c>
      <c r="O5" s="77" t="str">
        <f>IFERROR(AVERAGEIFS('데이터 기록표'!$L$7:$L$78,'데이터 기록표'!$A$7:$A$78,$A5,'데이터 기록표'!$B$7:$B$78,$C5),"")</f>
        <v/>
      </c>
      <c r="P5" s="89">
        <f>IFERROR(AVERAGEIFS('데이터 기록표'!$M$7:$M$78,'데이터 기록표'!$A$7:$A$78,$A5,'데이터 기록표'!$B$7:$B$78,$C5),"")</f>
        <v>0</v>
      </c>
      <c r="Q5" s="89">
        <f>IFERROR(AVERAGEIFS('데이터 기록표'!$N$7:$N$78,'데이터 기록표'!$A$7:$A$78,$A5,'데이터 기록표'!$B$7:$B$78,$C5),"")</f>
        <v>0</v>
      </c>
      <c r="R5" s="77">
        <f>IFERROR(AVERAGEIFS('데이터 기록표'!$O$7:$O$78,'데이터 기록표'!$A$7:$A$78,$A5,'데이터 기록표'!$B$7:$B$78,$C5),"")</f>
        <v>76.45</v>
      </c>
      <c r="S5" s="90"/>
      <c r="T5" s="90"/>
      <c r="U5" s="90"/>
    </row>
    <row r="6" spans="1:21">
      <c r="A6" s="26">
        <v>1</v>
      </c>
      <c r="B6" s="23">
        <v>1</v>
      </c>
      <c r="C6" s="24" t="s">
        <v>183</v>
      </c>
      <c r="D6" s="23" t="s">
        <v>203</v>
      </c>
      <c r="E6" s="23">
        <v>210</v>
      </c>
      <c r="F6" s="23">
        <v>60</v>
      </c>
      <c r="G6" s="23">
        <v>20</v>
      </c>
      <c r="H6" s="25">
        <v>-1</v>
      </c>
      <c r="I6" s="25">
        <v>1</v>
      </c>
      <c r="J6" s="25">
        <v>-1</v>
      </c>
      <c r="K6" s="23">
        <v>1</v>
      </c>
      <c r="L6" s="91">
        <f>COUNTIFS('데이터 기록표'!$A$7:$A$78,$A6,'데이터 기록표'!$B$7:$B$78,$C6,'데이터 기록표'!$G$7:$G$78,"&lt;&gt;")</f>
        <v>3</v>
      </c>
      <c r="M6" s="92">
        <f>IFERROR(AVERAGEIFS('데이터 기록표'!$J$7:$J$78,'데이터 기록표'!$A$7:$A$78,$A6,'데이터 기록표'!$B$7:$B$78,$C6),"")</f>
        <v>85.503641764322921</v>
      </c>
      <c r="N6" s="92">
        <f>IFERROR(AVERAGEIFS('데이터 기록표'!$K$7:$K$78,'데이터 기록표'!$A$7:$A$78,$A6,'데이터 기록표'!$B$7:$B$78,$C6),"")</f>
        <v>31.72149658203125</v>
      </c>
      <c r="O6" s="92" t="str">
        <f>IFERROR(AVERAGEIFS('데이터 기록표'!$L$7:$L$78,'데이터 기록표'!$A$7:$A$78,$A6,'데이터 기록표'!$B$7:$B$78,$C6),"")</f>
        <v/>
      </c>
      <c r="P6" s="93">
        <f>IFERROR(AVERAGEIFS('데이터 기록표'!$M$7:$M$78,'데이터 기록표'!$A$7:$A$78,$A6,'데이터 기록표'!$B$7:$B$78,$C6),"")</f>
        <v>0</v>
      </c>
      <c r="Q6" s="93">
        <f>IFERROR(AVERAGEIFS('데이터 기록표'!$N$7:$N$78,'데이터 기록표'!$A$7:$A$78,$A6,'데이터 기록표'!$B$7:$B$78,$C6),"")</f>
        <v>0</v>
      </c>
      <c r="R6" s="92">
        <f>IFERROR(AVERAGEIFS('데이터 기록표'!$O$7:$O$78,'데이터 기록표'!$A$7:$A$78,$A6,'데이터 기록표'!$B$7:$B$78,$C6),"")</f>
        <v>76.393333333333331</v>
      </c>
      <c r="S6" s="92">
        <f>IF(OR(M5="",M6=""),"",M5-M6)</f>
        <v>3.6215888129340215</v>
      </c>
      <c r="T6" s="92" t="str">
        <f>IF(OR(O5="",O6=""),"",O5-O6)</f>
        <v/>
      </c>
      <c r="U6" s="92">
        <f>IF(OR(R5="",R6=""),"",R5-R6)</f>
        <v>5.6666666666671972E-2</v>
      </c>
    </row>
    <row r="7" spans="1:21">
      <c r="A7" s="75">
        <v>2</v>
      </c>
      <c r="B7" s="7">
        <v>2</v>
      </c>
      <c r="C7" s="15" t="s">
        <v>73</v>
      </c>
      <c r="D7" s="7" t="s">
        <v>204</v>
      </c>
      <c r="E7" s="7">
        <v>210</v>
      </c>
      <c r="F7" s="7">
        <v>60</v>
      </c>
      <c r="G7" s="7">
        <v>40</v>
      </c>
      <c r="H7" s="87">
        <v>-1</v>
      </c>
      <c r="I7" s="87">
        <v>1</v>
      </c>
      <c r="J7" s="87">
        <v>-0.33329999999999999</v>
      </c>
      <c r="K7" s="7">
        <v>1</v>
      </c>
      <c r="L7" s="88">
        <f>COUNTIFS('데이터 기록표'!$A$7:$A$78,$A7,'데이터 기록표'!$B$7:$B$78,$C7,'데이터 기록표'!$G$7:$G$78,"&lt;&gt;")</f>
        <v>3</v>
      </c>
      <c r="M7" s="77">
        <f>IFERROR(AVERAGEIFS('데이터 기록표'!$J$7:$J$78,'데이터 기록표'!$A$7:$A$78,$A7,'데이터 기록표'!$B$7:$B$78,$C7),"")</f>
        <v>88.84769015842015</v>
      </c>
      <c r="N7" s="77">
        <f>IFERROR(AVERAGEIFS('데이터 기록표'!$K$7:$K$78,'데이터 기록표'!$A$7:$A$78,$A7,'데이터 기록표'!$B$7:$B$78,$C7),"")</f>
        <v>24.429829915364582</v>
      </c>
      <c r="O7" s="77" t="str">
        <f>IFERROR(AVERAGEIFS('데이터 기록표'!$L$7:$L$78,'데이터 기록표'!$A$7:$A$78,$A7,'데이터 기록표'!$B$7:$B$78,$C7),"")</f>
        <v/>
      </c>
      <c r="P7" s="89">
        <f>IFERROR(AVERAGEIFS('데이터 기록표'!$M$7:$M$78,'데이터 기록표'!$A$7:$A$78,$A7,'데이터 기록표'!$B$7:$B$78,$C7),"")</f>
        <v>0</v>
      </c>
      <c r="Q7" s="89">
        <f>IFERROR(AVERAGEIFS('데이터 기록표'!$N$7:$N$78,'데이터 기록표'!$A$7:$A$78,$A7,'데이터 기록표'!$B$7:$B$78,$C7),"")</f>
        <v>0</v>
      </c>
      <c r="R7" s="77">
        <f>IFERROR(AVERAGEIFS('데이터 기록표'!$O$7:$O$78,'데이터 기록표'!$A$7:$A$78,$A7,'데이터 기록표'!$B$7:$B$78,$C7),"")</f>
        <v>77.556666666666658</v>
      </c>
      <c r="S7" s="90"/>
      <c r="T7" s="90"/>
      <c r="U7" s="90"/>
    </row>
    <row r="8" spans="1:21">
      <c r="A8" s="75">
        <v>3</v>
      </c>
      <c r="B8" s="7">
        <v>3</v>
      </c>
      <c r="C8" s="15" t="s">
        <v>73</v>
      </c>
      <c r="D8" s="7" t="s">
        <v>204</v>
      </c>
      <c r="E8" s="7">
        <v>210</v>
      </c>
      <c r="F8" s="7">
        <v>60</v>
      </c>
      <c r="G8" s="7">
        <v>60</v>
      </c>
      <c r="H8" s="87">
        <v>-1</v>
      </c>
      <c r="I8" s="87">
        <v>1</v>
      </c>
      <c r="J8" s="87">
        <v>0.33329999999999999</v>
      </c>
      <c r="K8" s="7">
        <v>1</v>
      </c>
      <c r="L8" s="88">
        <f>COUNTIFS('데이터 기록표'!$A$7:$A$78,$A8,'데이터 기록표'!$B$7:$B$78,$C8,'데이터 기록표'!$G$7:$G$78,"&lt;&gt;")</f>
        <v>3</v>
      </c>
      <c r="M8" s="77">
        <f>IFERROR(AVERAGEIFS('데이터 기록표'!$J$7:$J$78,'데이터 기록표'!$A$7:$A$78,$A8,'데이터 기록표'!$B$7:$B$78,$C8),"")</f>
        <v>96.204291449652771</v>
      </c>
      <c r="N8" s="77">
        <f>IFERROR(AVERAGEIFS('데이터 기록표'!$K$7:$K$78,'데이터 기록표'!$A$7:$A$78,$A8,'데이터 기록표'!$B$7:$B$78,$C8),"")</f>
        <v>2.8722127278645835</v>
      </c>
      <c r="O8" s="77" t="str">
        <f>IFERROR(AVERAGEIFS('데이터 기록표'!$L$7:$L$78,'데이터 기록표'!$A$7:$A$78,$A8,'데이터 기록표'!$B$7:$B$78,$C8),"")</f>
        <v/>
      </c>
      <c r="P8" s="89">
        <f>IFERROR(AVERAGEIFS('데이터 기록표'!$M$7:$M$78,'데이터 기록표'!$A$7:$A$78,$A8,'데이터 기록표'!$B$7:$B$78,$C8),"")</f>
        <v>0</v>
      </c>
      <c r="Q8" s="89">
        <f>IFERROR(AVERAGEIFS('데이터 기록표'!$N$7:$N$78,'데이터 기록표'!$A$7:$A$78,$A8,'데이터 기록표'!$B$7:$B$78,$C8),"")</f>
        <v>0</v>
      </c>
      <c r="R8" s="77">
        <f>IFERROR(AVERAGEIFS('데이터 기록표'!$O$7:$O$78,'데이터 기록표'!$A$7:$A$78,$A8,'데이터 기록표'!$B$7:$B$78,$C8),"")</f>
        <v>79.266666666666666</v>
      </c>
      <c r="S8" s="90"/>
      <c r="T8" s="90"/>
      <c r="U8" s="90"/>
    </row>
    <row r="9" spans="1:21">
      <c r="A9" s="75">
        <v>4</v>
      </c>
      <c r="B9" s="7">
        <v>4</v>
      </c>
      <c r="C9" s="15" t="s">
        <v>73</v>
      </c>
      <c r="D9" s="7" t="s">
        <v>202</v>
      </c>
      <c r="E9" s="7">
        <v>210</v>
      </c>
      <c r="F9" s="7">
        <v>60</v>
      </c>
      <c r="G9" s="7">
        <v>80</v>
      </c>
      <c r="H9" s="87">
        <v>-1</v>
      </c>
      <c r="I9" s="87">
        <v>1</v>
      </c>
      <c r="J9" s="87">
        <v>1</v>
      </c>
      <c r="K9" s="7">
        <v>1</v>
      </c>
      <c r="L9" s="88">
        <f>COUNTIFS('데이터 기록표'!$A$7:$A$78,$A9,'데이터 기록표'!$B$7:$B$78,$C9,'데이터 기록표'!$G$7:$G$78,"&lt;&gt;")</f>
        <v>3</v>
      </c>
      <c r="M9" s="77">
        <f>IFERROR(AVERAGEIFS('데이터 기록표'!$J$7:$J$78,'데이터 기록표'!$A$7:$A$78,$A9,'데이터 기록표'!$B$7:$B$78,$C9),"")</f>
        <v>96.502855088975707</v>
      </c>
      <c r="N9" s="77">
        <f>IFERROR(AVERAGEIFS('데이터 기록표'!$K$7:$K$78,'데이터 기록표'!$A$7:$A$78,$A9,'데이터 기록표'!$B$7:$B$78,$C9),"")</f>
        <v>0.83211263020833337</v>
      </c>
      <c r="O9" s="77" t="str">
        <f>IFERROR(AVERAGEIFS('데이터 기록표'!$L$7:$L$78,'데이터 기록표'!$A$7:$A$78,$A9,'데이터 기록표'!$B$7:$B$78,$C9),"")</f>
        <v/>
      </c>
      <c r="P9" s="89">
        <f>IFERROR(AVERAGEIFS('데이터 기록표'!$M$7:$M$78,'데이터 기록표'!$A$7:$A$78,$A9,'데이터 기록표'!$B$7:$B$78,$C9),"")</f>
        <v>1</v>
      </c>
      <c r="Q9" s="89">
        <f>IFERROR(AVERAGEIFS('데이터 기록표'!$N$7:$N$78,'데이터 기록표'!$A$7:$A$78,$A9,'데이터 기록표'!$B$7:$B$78,$C9),"")</f>
        <v>0</v>
      </c>
      <c r="R9" s="77">
        <f>IFERROR(AVERAGEIFS('데이터 기록표'!$O$7:$O$78,'데이터 기록표'!$A$7:$A$78,$A9,'데이터 기록표'!$B$7:$B$78,$C9),"")</f>
        <v>82.406666666666666</v>
      </c>
      <c r="S9" s="90"/>
      <c r="T9" s="90"/>
      <c r="U9" s="90"/>
    </row>
    <row r="10" spans="1:21">
      <c r="A10" s="26">
        <v>4</v>
      </c>
      <c r="B10" s="23">
        <v>4</v>
      </c>
      <c r="C10" s="24" t="s">
        <v>183</v>
      </c>
      <c r="D10" s="23" t="s">
        <v>205</v>
      </c>
      <c r="E10" s="23">
        <v>210</v>
      </c>
      <c r="F10" s="23">
        <v>60</v>
      </c>
      <c r="G10" s="23">
        <v>80</v>
      </c>
      <c r="H10" s="25">
        <v>-1</v>
      </c>
      <c r="I10" s="25">
        <v>1</v>
      </c>
      <c r="J10" s="25">
        <v>1</v>
      </c>
      <c r="K10" s="23">
        <v>1</v>
      </c>
      <c r="L10" s="91">
        <f>COUNTIFS('데이터 기록표'!$A$7:$A$78,$A10,'데이터 기록표'!$B$7:$B$78,$C10,'데이터 기록표'!$G$7:$G$78,"&lt;&gt;")</f>
        <v>3</v>
      </c>
      <c r="M10" s="92">
        <f>IFERROR(AVERAGEIFS('데이터 기록표'!$J$7:$J$78,'데이터 기록표'!$A$7:$A$78,$A10,'데이터 기록표'!$B$7:$B$78,$C10),"")</f>
        <v>96.099683973524307</v>
      </c>
      <c r="N10" s="92">
        <f>IFERROR(AVERAGEIFS('데이터 기록표'!$K$7:$K$78,'데이터 기록표'!$A$7:$A$78,$A10,'데이터 기록표'!$B$7:$B$78,$C10),"")</f>
        <v>3.7516276041666665</v>
      </c>
      <c r="O10" s="92" t="str">
        <f>IFERROR(AVERAGEIFS('데이터 기록표'!$L$7:$L$78,'데이터 기록표'!$A$7:$A$78,$A10,'데이터 기록표'!$B$7:$B$78,$C10),"")</f>
        <v/>
      </c>
      <c r="P10" s="93">
        <f>IFERROR(AVERAGEIFS('데이터 기록표'!$M$7:$M$78,'데이터 기록표'!$A$7:$A$78,$A10,'데이터 기록표'!$B$7:$B$78,$C10),"")</f>
        <v>1</v>
      </c>
      <c r="Q10" s="93">
        <f>IFERROR(AVERAGEIFS('데이터 기록표'!$N$7:$N$78,'데이터 기록표'!$A$7:$A$78,$A10,'데이터 기록표'!$B$7:$B$78,$C10),"")</f>
        <v>0</v>
      </c>
      <c r="R10" s="92">
        <f>IFERROR(AVERAGEIFS('데이터 기록표'!$O$7:$O$78,'데이터 기록표'!$A$7:$A$78,$A10,'데이터 기록표'!$B$7:$B$78,$C10),"")</f>
        <v>81.913333333333327</v>
      </c>
      <c r="S10" s="92">
        <f>IF(OR(M9="",M10=""),"",M9-M10)</f>
        <v>0.40317111545139994</v>
      </c>
      <c r="T10" s="92" t="str">
        <f>IF(OR(O9="",O10=""),"",O9-O10)</f>
        <v/>
      </c>
      <c r="U10" s="92">
        <f>IF(OR(R9="",R10=""),"",R9-R10)</f>
        <v>0.4933333333333394</v>
      </c>
    </row>
    <row r="11" spans="1:21">
      <c r="A11" s="75">
        <v>5</v>
      </c>
      <c r="B11" s="7">
        <v>6</v>
      </c>
      <c r="C11" s="15" t="s">
        <v>73</v>
      </c>
      <c r="D11" s="7" t="s">
        <v>204</v>
      </c>
      <c r="E11" s="7">
        <v>223</v>
      </c>
      <c r="F11" s="7">
        <v>60</v>
      </c>
      <c r="G11" s="7">
        <v>40</v>
      </c>
      <c r="H11" s="87">
        <v>-0.33329999999999999</v>
      </c>
      <c r="I11" s="87">
        <v>1</v>
      </c>
      <c r="J11" s="87">
        <v>-0.33329999999999999</v>
      </c>
      <c r="K11" s="7">
        <v>2</v>
      </c>
      <c r="L11" s="88">
        <f>COUNTIFS('데이터 기록표'!$A$7:$A$78,$A11,'데이터 기록표'!$B$7:$B$78,$C11,'데이터 기록표'!$G$7:$G$78,"&lt;&gt;")</f>
        <v>3</v>
      </c>
      <c r="M11" s="77">
        <f>IFERROR(AVERAGEIFS('데이터 기록표'!$J$7:$J$78,'데이터 기록표'!$A$7:$A$78,$A11,'데이터 기록표'!$B$7:$B$78,$C11),"")</f>
        <v>92.802768283420122</v>
      </c>
      <c r="N11" s="77">
        <f>IFERROR(AVERAGEIFS('데이터 기록표'!$K$7:$K$78,'데이터 기록표'!$A$7:$A$78,$A11,'데이터 기록표'!$B$7:$B$78,$C11),"")</f>
        <v>14.217631022135416</v>
      </c>
      <c r="O11" s="77" t="str">
        <f>IFERROR(AVERAGEIFS('데이터 기록표'!$L$7:$L$78,'데이터 기록표'!$A$7:$A$78,$A11,'데이터 기록표'!$B$7:$B$78,$C11),"")</f>
        <v/>
      </c>
      <c r="P11" s="89">
        <f>IFERROR(AVERAGEIFS('데이터 기록표'!$M$7:$M$78,'데이터 기록표'!$A$7:$A$78,$A11,'데이터 기록표'!$B$7:$B$78,$C11),"")</f>
        <v>0</v>
      </c>
      <c r="Q11" s="89">
        <f>IFERROR(AVERAGEIFS('데이터 기록표'!$N$7:$N$78,'데이터 기록표'!$A$7:$A$78,$A11,'데이터 기록표'!$B$7:$B$78,$C11),"")</f>
        <v>0</v>
      </c>
      <c r="R11" s="77">
        <f>IFERROR(AVERAGEIFS('데이터 기록표'!$O$7:$O$78,'데이터 기록표'!$A$7:$A$78,$A11,'데이터 기록표'!$B$7:$B$78,$C11),"")</f>
        <v>76.846666666666678</v>
      </c>
      <c r="S11" s="90"/>
      <c r="T11" s="90"/>
      <c r="U11" s="90"/>
    </row>
    <row r="12" spans="1:21">
      <c r="A12" s="75">
        <v>6</v>
      </c>
      <c r="B12" s="7">
        <v>5</v>
      </c>
      <c r="C12" s="15" t="s">
        <v>73</v>
      </c>
      <c r="D12" s="7" t="s">
        <v>204</v>
      </c>
      <c r="E12" s="7">
        <v>223</v>
      </c>
      <c r="F12" s="7">
        <v>60</v>
      </c>
      <c r="G12" s="7">
        <v>20</v>
      </c>
      <c r="H12" s="87">
        <v>-0.33329999999999999</v>
      </c>
      <c r="I12" s="87">
        <v>1</v>
      </c>
      <c r="J12" s="87">
        <v>-1</v>
      </c>
      <c r="K12" s="7">
        <v>2</v>
      </c>
      <c r="L12" s="88">
        <f>COUNTIFS('데이터 기록표'!$A$7:$A$78,$A12,'데이터 기록표'!$B$7:$B$78,$C12,'데이터 기록표'!$G$7:$G$78,"&lt;&gt;")</f>
        <v>3</v>
      </c>
      <c r="M12" s="77">
        <f>IFERROR(AVERAGEIFS('데이터 기록표'!$J$7:$J$78,'데이터 기록표'!$A$7:$A$78,$A12,'데이터 기록표'!$B$7:$B$78,$C12),"")</f>
        <v>87.314351399739579</v>
      </c>
      <c r="N12" s="77">
        <f>IFERROR(AVERAGEIFS('데이터 기록표'!$K$7:$K$78,'데이터 기록표'!$A$7:$A$78,$A12,'데이터 기록표'!$B$7:$B$78,$C12),"")</f>
        <v>25.890096028645832</v>
      </c>
      <c r="O12" s="77" t="str">
        <f>IFERROR(AVERAGEIFS('데이터 기록표'!$L$7:$L$78,'데이터 기록표'!$A$7:$A$78,$A12,'데이터 기록표'!$B$7:$B$78,$C12),"")</f>
        <v/>
      </c>
      <c r="P12" s="89">
        <f>IFERROR(AVERAGEIFS('데이터 기록표'!$M$7:$M$78,'데이터 기록표'!$A$7:$A$78,$A12,'데이터 기록표'!$B$7:$B$78,$C12),"")</f>
        <v>0</v>
      </c>
      <c r="Q12" s="89">
        <f>IFERROR(AVERAGEIFS('데이터 기록표'!$N$7:$N$78,'데이터 기록표'!$A$7:$A$78,$A12,'데이터 기록표'!$B$7:$B$78,$C12),"")</f>
        <v>0</v>
      </c>
      <c r="R12" s="77">
        <f>IFERROR(AVERAGEIFS('데이터 기록표'!$O$7:$O$78,'데이터 기록표'!$A$7:$A$78,$A12,'데이터 기록표'!$B$7:$B$78,$C12),"")</f>
        <v>76.239999999999995</v>
      </c>
      <c r="S12" s="90"/>
      <c r="T12" s="90"/>
      <c r="U12" s="90"/>
    </row>
    <row r="13" spans="1:21">
      <c r="A13" s="75">
        <v>7</v>
      </c>
      <c r="B13" s="7">
        <v>8</v>
      </c>
      <c r="C13" s="15" t="s">
        <v>73</v>
      </c>
      <c r="D13" s="7" t="s">
        <v>204</v>
      </c>
      <c r="E13" s="7">
        <v>223</v>
      </c>
      <c r="F13" s="7">
        <v>60</v>
      </c>
      <c r="G13" s="7">
        <v>80</v>
      </c>
      <c r="H13" s="87">
        <v>-0.33329999999999999</v>
      </c>
      <c r="I13" s="87">
        <v>1</v>
      </c>
      <c r="J13" s="87">
        <v>1</v>
      </c>
      <c r="K13" s="7">
        <v>2</v>
      </c>
      <c r="L13" s="88">
        <f>COUNTIFS('데이터 기록표'!$A$7:$A$78,$A13,'데이터 기록표'!$B$7:$B$78,$C13,'데이터 기록표'!$G$7:$G$78,"&lt;&gt;")</f>
        <v>3</v>
      </c>
      <c r="M13" s="77">
        <f>IFERROR(AVERAGEIFS('데이터 기록표'!$J$7:$J$78,'데이터 기록표'!$A$7:$A$78,$A13,'데이터 기록표'!$B$7:$B$78,$C13),"")</f>
        <v>95.92166476779515</v>
      </c>
      <c r="N13" s="77">
        <f>IFERROR(AVERAGEIFS('데이터 기록표'!$K$7:$K$78,'데이터 기록표'!$A$7:$A$78,$A13,'데이터 기록표'!$B$7:$B$78,$C13),"")</f>
        <v>2.5410970052083335</v>
      </c>
      <c r="O13" s="77" t="str">
        <f>IFERROR(AVERAGEIFS('데이터 기록표'!$L$7:$L$78,'데이터 기록표'!$A$7:$A$78,$A13,'데이터 기록표'!$B$7:$B$78,$C13),"")</f>
        <v/>
      </c>
      <c r="P13" s="89">
        <f>IFERROR(AVERAGEIFS('데이터 기록표'!$M$7:$M$78,'데이터 기록표'!$A$7:$A$78,$A13,'데이터 기록표'!$B$7:$B$78,$C13),"")</f>
        <v>0</v>
      </c>
      <c r="Q13" s="89">
        <f>IFERROR(AVERAGEIFS('데이터 기록표'!$N$7:$N$78,'데이터 기록표'!$A$7:$A$78,$A13,'데이터 기록표'!$B$7:$B$78,$C13),"")</f>
        <v>0</v>
      </c>
      <c r="R13" s="77">
        <f>IFERROR(AVERAGEIFS('데이터 기록표'!$O$7:$O$78,'데이터 기록표'!$A$7:$A$78,$A13,'데이터 기록표'!$B$7:$B$78,$C13),"")</f>
        <v>78.64</v>
      </c>
      <c r="S13" s="90"/>
      <c r="T13" s="90"/>
      <c r="U13" s="90"/>
    </row>
    <row r="14" spans="1:21">
      <c r="A14" s="75">
        <v>8</v>
      </c>
      <c r="B14" s="7">
        <v>7</v>
      </c>
      <c r="C14" s="15" t="s">
        <v>73</v>
      </c>
      <c r="D14" s="7" t="s">
        <v>204</v>
      </c>
      <c r="E14" s="7">
        <v>223</v>
      </c>
      <c r="F14" s="7">
        <v>60</v>
      </c>
      <c r="G14" s="7">
        <v>60</v>
      </c>
      <c r="H14" s="87">
        <v>-0.33329999999999999</v>
      </c>
      <c r="I14" s="87">
        <v>1</v>
      </c>
      <c r="J14" s="87">
        <v>0.33329999999999999</v>
      </c>
      <c r="K14" s="7">
        <v>2</v>
      </c>
      <c r="L14" s="88">
        <f>COUNTIFS('데이터 기록표'!$A$7:$A$78,$A14,'데이터 기록표'!$B$7:$B$78,$C14,'데이터 기록표'!$G$7:$G$78,"&lt;&gt;")</f>
        <v>3</v>
      </c>
      <c r="M14" s="77">
        <f>IFERROR(AVERAGEIFS('데이터 기록표'!$J$7:$J$78,'데이터 기록표'!$A$7:$A$78,$A14,'데이터 기록표'!$B$7:$B$78,$C14),"")</f>
        <v>96.55337863498265</v>
      </c>
      <c r="N14" s="77">
        <f>IFERROR(AVERAGEIFS('데이터 기록표'!$K$7:$K$78,'데이터 기록표'!$A$7:$A$78,$A14,'데이터 기록표'!$B$7:$B$78,$C14),"")</f>
        <v>1.4994303385416667</v>
      </c>
      <c r="O14" s="77" t="str">
        <f>IFERROR(AVERAGEIFS('데이터 기록표'!$L$7:$L$78,'데이터 기록표'!$A$7:$A$78,$A14,'데이터 기록표'!$B$7:$B$78,$C14),"")</f>
        <v/>
      </c>
      <c r="P14" s="89">
        <f>IFERROR(AVERAGEIFS('데이터 기록표'!$M$7:$M$78,'데이터 기록표'!$A$7:$A$78,$A14,'데이터 기록표'!$B$7:$B$78,$C14),"")</f>
        <v>0</v>
      </c>
      <c r="Q14" s="89">
        <f>IFERROR(AVERAGEIFS('데이터 기록표'!$N$7:$N$78,'데이터 기록표'!$A$7:$A$78,$A14,'데이터 기록표'!$B$7:$B$78,$C14),"")</f>
        <v>0</v>
      </c>
      <c r="R14" s="77">
        <f>IFERROR(AVERAGEIFS('데이터 기록표'!$O$7:$O$78,'데이터 기록표'!$A$7:$A$78,$A14,'데이터 기록표'!$B$7:$B$78,$C14),"")</f>
        <v>77.31</v>
      </c>
      <c r="S14" s="90"/>
      <c r="T14" s="90"/>
      <c r="U14" s="90"/>
    </row>
    <row r="15" spans="1:21">
      <c r="A15" s="75">
        <v>9</v>
      </c>
      <c r="B15" s="7">
        <v>9</v>
      </c>
      <c r="C15" s="15" t="s">
        <v>73</v>
      </c>
      <c r="D15" s="7" t="s">
        <v>204</v>
      </c>
      <c r="E15" s="7">
        <v>237</v>
      </c>
      <c r="F15" s="7">
        <v>60</v>
      </c>
      <c r="G15" s="7">
        <v>20</v>
      </c>
      <c r="H15" s="87">
        <v>0.33329999999999999</v>
      </c>
      <c r="I15" s="87">
        <v>1</v>
      </c>
      <c r="J15" s="87">
        <v>-1</v>
      </c>
      <c r="K15" s="7">
        <v>3</v>
      </c>
      <c r="L15" s="88">
        <f>COUNTIFS('데이터 기록표'!$A$7:$A$78,$A15,'데이터 기록표'!$B$7:$B$78,$C15,'데이터 기록표'!$G$7:$G$78,"&lt;&gt;")</f>
        <v>3</v>
      </c>
      <c r="M15" s="77">
        <f>IFERROR(AVERAGEIFS('데이터 기록표'!$J$7:$J$78,'데이터 기록표'!$A$7:$A$78,$A15,'데이터 기록표'!$B$7:$B$78,$C15),"")</f>
        <v>90.686543782552079</v>
      </c>
      <c r="N15" s="77">
        <f>IFERROR(AVERAGEIFS('데이터 기록표'!$K$7:$K$78,'데이터 기록표'!$A$7:$A$78,$A15,'데이터 기록표'!$B$7:$B$78,$C15),"")</f>
        <v>12.6617431640625</v>
      </c>
      <c r="O15" s="77" t="str">
        <f>IFERROR(AVERAGEIFS('데이터 기록표'!$L$7:$L$78,'데이터 기록표'!$A$7:$A$78,$A15,'데이터 기록표'!$B$7:$B$78,$C15),"")</f>
        <v/>
      </c>
      <c r="P15" s="89">
        <f>IFERROR(AVERAGEIFS('데이터 기록표'!$M$7:$M$78,'데이터 기록표'!$A$7:$A$78,$A15,'데이터 기록표'!$B$7:$B$78,$C15),"")</f>
        <v>0</v>
      </c>
      <c r="Q15" s="89">
        <f>IFERROR(AVERAGEIFS('데이터 기록표'!$N$7:$N$78,'데이터 기록표'!$A$7:$A$78,$A15,'데이터 기록표'!$B$7:$B$78,$C15),"")</f>
        <v>0</v>
      </c>
      <c r="R15" s="77">
        <f>IFERROR(AVERAGEIFS('데이터 기록표'!$O$7:$O$78,'데이터 기록표'!$A$7:$A$78,$A15,'데이터 기록표'!$B$7:$B$78,$C15),"")</f>
        <v>75.49666666666667</v>
      </c>
      <c r="S15" s="90"/>
      <c r="T15" s="90"/>
      <c r="U15" s="90"/>
    </row>
    <row r="16" spans="1:21">
      <c r="A16" s="75">
        <v>10</v>
      </c>
      <c r="B16" s="7">
        <v>10</v>
      </c>
      <c r="C16" s="15" t="s">
        <v>73</v>
      </c>
      <c r="D16" s="7" t="s">
        <v>204</v>
      </c>
      <c r="E16" s="7">
        <v>237</v>
      </c>
      <c r="F16" s="7">
        <v>60</v>
      </c>
      <c r="G16" s="7">
        <v>40</v>
      </c>
      <c r="H16" s="87">
        <v>0.33329999999999999</v>
      </c>
      <c r="I16" s="87">
        <v>1</v>
      </c>
      <c r="J16" s="87">
        <v>-0.33329999999999999</v>
      </c>
      <c r="K16" s="7">
        <v>3</v>
      </c>
      <c r="L16" s="88">
        <f>COUNTIFS('데이터 기록표'!$A$7:$A$78,$A16,'데이터 기록표'!$B$7:$B$78,$C16,'데이터 기록표'!$G$7:$G$78,"&lt;&gt;")</f>
        <v>3</v>
      </c>
      <c r="M16" s="77">
        <f>IFERROR(AVERAGEIFS('데이터 기록표'!$J$7:$J$78,'데이터 기록표'!$A$7:$A$78,$A16,'데이터 기록표'!$B$7:$B$78,$C16),"")</f>
        <v>95.763142903645829</v>
      </c>
      <c r="N16" s="77">
        <f>IFERROR(AVERAGEIFS('데이터 기록표'!$K$7:$K$78,'데이터 기록표'!$A$7:$A$78,$A16,'데이터 기록표'!$B$7:$B$78,$C16),"")</f>
        <v>4.401652018229167</v>
      </c>
      <c r="O16" s="77" t="str">
        <f>IFERROR(AVERAGEIFS('데이터 기록표'!$L$7:$L$78,'데이터 기록표'!$A$7:$A$78,$A16,'데이터 기록표'!$B$7:$B$78,$C16),"")</f>
        <v/>
      </c>
      <c r="P16" s="89">
        <f>IFERROR(AVERAGEIFS('데이터 기록표'!$M$7:$M$78,'데이터 기록표'!$A$7:$A$78,$A16,'데이터 기록표'!$B$7:$B$78,$C16),"")</f>
        <v>0</v>
      </c>
      <c r="Q16" s="89">
        <f>IFERROR(AVERAGEIFS('데이터 기록표'!$N$7:$N$78,'데이터 기록표'!$A$7:$A$78,$A16,'데이터 기록표'!$B$7:$B$78,$C16),"")</f>
        <v>0</v>
      </c>
      <c r="R16" s="77">
        <f>IFERROR(AVERAGEIFS('데이터 기록표'!$O$7:$O$78,'데이터 기록표'!$A$7:$A$78,$A16,'데이터 기록표'!$B$7:$B$78,$C16),"")</f>
        <v>76.05</v>
      </c>
      <c r="S16" s="90"/>
      <c r="T16" s="90"/>
      <c r="U16" s="90"/>
    </row>
    <row r="17" spans="1:21">
      <c r="A17" s="75">
        <v>11</v>
      </c>
      <c r="B17" s="7">
        <v>12</v>
      </c>
      <c r="C17" s="15" t="s">
        <v>73</v>
      </c>
      <c r="D17" s="7" t="s">
        <v>204</v>
      </c>
      <c r="E17" s="7">
        <v>237</v>
      </c>
      <c r="F17" s="7">
        <v>60</v>
      </c>
      <c r="G17" s="7">
        <v>80</v>
      </c>
      <c r="H17" s="87">
        <v>0.33329999999999999</v>
      </c>
      <c r="I17" s="87">
        <v>1</v>
      </c>
      <c r="J17" s="87">
        <v>1</v>
      </c>
      <c r="K17" s="7">
        <v>3</v>
      </c>
      <c r="L17" s="88">
        <f>COUNTIFS('데이터 기록표'!$A$7:$A$78,$A17,'데이터 기록표'!$B$7:$B$78,$C17,'데이터 기록표'!$G$7:$G$78,"&lt;&gt;")</f>
        <v>3</v>
      </c>
      <c r="M17" s="77">
        <f>IFERROR(AVERAGEIFS('데이터 기록표'!$J$7:$J$78,'데이터 기록표'!$A$7:$A$78,$A17,'데이터 기록표'!$B$7:$B$78,$C17),"")</f>
        <v>97.052849663628479</v>
      </c>
      <c r="N17" s="77">
        <f>IFERROR(AVERAGEIFS('데이터 기록표'!$K$7:$K$78,'데이터 기록표'!$A$7:$A$78,$A17,'데이터 기록표'!$B$7:$B$78,$C17),"")</f>
        <v>0.67596435546875</v>
      </c>
      <c r="O17" s="77" t="str">
        <f>IFERROR(AVERAGEIFS('데이터 기록표'!$L$7:$L$78,'데이터 기록표'!$A$7:$A$78,$A17,'데이터 기록표'!$B$7:$B$78,$C17),"")</f>
        <v/>
      </c>
      <c r="P17" s="89">
        <f>IFERROR(AVERAGEIFS('데이터 기록표'!$M$7:$M$78,'데이터 기록표'!$A$7:$A$78,$A17,'데이터 기록표'!$B$7:$B$78,$C17),"")</f>
        <v>0</v>
      </c>
      <c r="Q17" s="89">
        <f>IFERROR(AVERAGEIFS('데이터 기록표'!$N$7:$N$78,'데이터 기록표'!$A$7:$A$78,$A17,'데이터 기록표'!$B$7:$B$78,$C17),"")</f>
        <v>0</v>
      </c>
      <c r="R17" s="77">
        <f>IFERROR(AVERAGEIFS('데이터 기록표'!$O$7:$O$78,'데이터 기록표'!$A$7:$A$78,$A17,'데이터 기록표'!$B$7:$B$78,$C17),"")</f>
        <v>76.900000000000006</v>
      </c>
      <c r="S17" s="90"/>
      <c r="T17" s="90"/>
      <c r="U17" s="90"/>
    </row>
    <row r="18" spans="1:21">
      <c r="A18" s="75">
        <v>12</v>
      </c>
      <c r="B18" s="7">
        <v>11</v>
      </c>
      <c r="C18" s="15" t="s">
        <v>73</v>
      </c>
      <c r="D18" s="7" t="s">
        <v>204</v>
      </c>
      <c r="E18" s="7">
        <v>237</v>
      </c>
      <c r="F18" s="7">
        <v>60</v>
      </c>
      <c r="G18" s="7">
        <v>60</v>
      </c>
      <c r="H18" s="87">
        <v>0.33329999999999999</v>
      </c>
      <c r="I18" s="87">
        <v>1</v>
      </c>
      <c r="J18" s="87">
        <v>0.33329999999999999</v>
      </c>
      <c r="K18" s="7">
        <v>3</v>
      </c>
      <c r="L18" s="88">
        <f>COUNTIFS('데이터 기록표'!$A$7:$A$78,$A18,'데이터 기록표'!$B$7:$B$78,$C18,'데이터 기록표'!$G$7:$G$78,"&lt;&gt;")</f>
        <v>3</v>
      </c>
      <c r="M18" s="77">
        <f>IFERROR(AVERAGEIFS('데이터 기록표'!$J$7:$J$78,'데이터 기록표'!$A$7:$A$78,$A18,'데이터 기록표'!$B$7:$B$78,$C18),"")</f>
        <v>97.1401638454861</v>
      </c>
      <c r="N18" s="77">
        <f>IFERROR(AVERAGEIFS('데이터 기록표'!$K$7:$K$78,'데이터 기록표'!$A$7:$A$78,$A18,'데이터 기록표'!$B$7:$B$78,$C18),"")</f>
        <v>1.2461344401041667</v>
      </c>
      <c r="O18" s="77" t="str">
        <f>IFERROR(AVERAGEIFS('데이터 기록표'!$L$7:$L$78,'데이터 기록표'!$A$7:$A$78,$A18,'데이터 기록표'!$B$7:$B$78,$C18),"")</f>
        <v/>
      </c>
      <c r="P18" s="89">
        <f>IFERROR(AVERAGEIFS('데이터 기록표'!$M$7:$M$78,'데이터 기록표'!$A$7:$A$78,$A18,'데이터 기록표'!$B$7:$B$78,$C18),"")</f>
        <v>0</v>
      </c>
      <c r="Q18" s="89">
        <f>IFERROR(AVERAGEIFS('데이터 기록표'!$N$7:$N$78,'데이터 기록표'!$A$7:$A$78,$A18,'데이터 기록표'!$B$7:$B$78,$C18),"")</f>
        <v>0</v>
      </c>
      <c r="R18" s="77">
        <f>IFERROR(AVERAGEIFS('데이터 기록표'!$O$7:$O$78,'데이터 기록표'!$A$7:$A$78,$A18,'데이터 기록표'!$B$7:$B$78,$C18),"")</f>
        <v>76.569999999999993</v>
      </c>
      <c r="S18" s="90"/>
      <c r="T18" s="90"/>
      <c r="U18" s="90"/>
    </row>
    <row r="19" spans="1:21">
      <c r="A19" s="75">
        <v>13</v>
      </c>
      <c r="B19" s="7">
        <v>13</v>
      </c>
      <c r="C19" s="15" t="s">
        <v>73</v>
      </c>
      <c r="D19" s="7" t="s">
        <v>202</v>
      </c>
      <c r="E19" s="7">
        <v>250</v>
      </c>
      <c r="F19" s="7">
        <v>60</v>
      </c>
      <c r="G19" s="7">
        <v>20</v>
      </c>
      <c r="H19" s="87">
        <v>1</v>
      </c>
      <c r="I19" s="87">
        <v>1</v>
      </c>
      <c r="J19" s="87">
        <v>-1</v>
      </c>
      <c r="K19" s="7">
        <v>4</v>
      </c>
      <c r="L19" s="88">
        <f>COUNTIFS('데이터 기록표'!$A$7:$A$78,$A19,'데이터 기록표'!$B$7:$B$78,$C19,'데이터 기록표'!$G$7:$G$78,"&lt;&gt;")</f>
        <v>3</v>
      </c>
      <c r="M19" s="77">
        <f>IFERROR(AVERAGEIFS('데이터 기록표'!$J$7:$J$78,'데이터 기록표'!$A$7:$A$78,$A19,'데이터 기록표'!$B$7:$B$78,$C19),"")</f>
        <v>92.360602484809036</v>
      </c>
      <c r="N19" s="77">
        <f>IFERROR(AVERAGEIFS('데이터 기록표'!$K$7:$K$78,'데이터 기록표'!$A$7:$A$78,$A19,'데이터 기록표'!$B$7:$B$78,$C19),"")</f>
        <v>9.2229207356770839</v>
      </c>
      <c r="O19" s="77" t="str">
        <f>IFERROR(AVERAGEIFS('데이터 기록표'!$L$7:$L$78,'데이터 기록표'!$A$7:$A$78,$A19,'데이터 기록표'!$B$7:$B$78,$C19),"")</f>
        <v/>
      </c>
      <c r="P19" s="89">
        <f>IFERROR(AVERAGEIFS('데이터 기록표'!$M$7:$M$78,'데이터 기록표'!$A$7:$A$78,$A19,'데이터 기록표'!$B$7:$B$78,$C19),"")</f>
        <v>0</v>
      </c>
      <c r="Q19" s="89">
        <f>IFERROR(AVERAGEIFS('데이터 기록표'!$N$7:$N$78,'데이터 기록표'!$A$7:$A$78,$A19,'데이터 기록표'!$B$7:$B$78,$C19),"")</f>
        <v>0</v>
      </c>
      <c r="R19" s="77">
        <f>IFERROR(AVERAGEIFS('데이터 기록표'!$O$7:$O$78,'데이터 기록표'!$A$7:$A$78,$A19,'데이터 기록표'!$B$7:$B$78,$C19),"")</f>
        <v>75.273333333333326</v>
      </c>
      <c r="S19" s="90"/>
      <c r="T19" s="90"/>
      <c r="U19" s="90"/>
    </row>
    <row r="20" spans="1:21">
      <c r="A20" s="26">
        <v>13</v>
      </c>
      <c r="B20" s="23">
        <v>13</v>
      </c>
      <c r="C20" s="24" t="s">
        <v>183</v>
      </c>
      <c r="D20" s="23" t="s">
        <v>206</v>
      </c>
      <c r="E20" s="23">
        <v>250</v>
      </c>
      <c r="F20" s="23">
        <v>60</v>
      </c>
      <c r="G20" s="23">
        <v>20</v>
      </c>
      <c r="H20" s="25">
        <v>1</v>
      </c>
      <c r="I20" s="25">
        <v>1</v>
      </c>
      <c r="J20" s="25">
        <v>-1</v>
      </c>
      <c r="K20" s="23">
        <v>4</v>
      </c>
      <c r="L20" s="91">
        <f>COUNTIFS('데이터 기록표'!$A$7:$A$78,$A20,'데이터 기록표'!$B$7:$B$78,$C20,'데이터 기록표'!$G$7:$G$78,"&lt;&gt;")</f>
        <v>3</v>
      </c>
      <c r="M20" s="92">
        <f>IFERROR(AVERAGEIFS('데이터 기록표'!$J$7:$J$78,'데이터 기록표'!$A$7:$A$78,$A20,'데이터 기록표'!$B$7:$B$78,$C20),"")</f>
        <v>95.081414116753479</v>
      </c>
      <c r="N20" s="92">
        <f>IFERROR(AVERAGEIFS('데이터 기록표'!$K$7:$K$78,'데이터 기록표'!$A$7:$A$78,$A20,'데이터 기록표'!$B$7:$B$78,$C20),"")</f>
        <v>4.855855305989583</v>
      </c>
      <c r="O20" s="92" t="str">
        <f>IFERROR(AVERAGEIFS('데이터 기록표'!$L$7:$L$78,'데이터 기록표'!$A$7:$A$78,$A20,'데이터 기록표'!$B$7:$B$78,$C20),"")</f>
        <v/>
      </c>
      <c r="P20" s="93">
        <f>IFERROR(AVERAGEIFS('데이터 기록표'!$M$7:$M$78,'데이터 기록표'!$A$7:$A$78,$A20,'데이터 기록표'!$B$7:$B$78,$C20),"")</f>
        <v>0</v>
      </c>
      <c r="Q20" s="93">
        <f>IFERROR(AVERAGEIFS('데이터 기록표'!$N$7:$N$78,'데이터 기록표'!$A$7:$A$78,$A20,'데이터 기록표'!$B$7:$B$78,$C20),"")</f>
        <v>0</v>
      </c>
      <c r="R20" s="92">
        <f>IFERROR(AVERAGEIFS('데이터 기록표'!$O$7:$O$78,'데이터 기록표'!$A$7:$A$78,$A20,'데이터 기록표'!$B$7:$B$78,$C20),"")</f>
        <v>75.166666666666671</v>
      </c>
      <c r="S20" s="92">
        <f>IF(OR(M19="",M20=""),"",M19-M20)</f>
        <v>-2.7208116319444429</v>
      </c>
      <c r="T20" s="92" t="str">
        <f>IF(OR(O19="",O20=""),"",O19-O20)</f>
        <v/>
      </c>
      <c r="U20" s="92">
        <f>IF(OR(R19="",R20=""),"",R19-R20)</f>
        <v>0.10666666666665492</v>
      </c>
    </row>
    <row r="21" spans="1:21">
      <c r="A21" s="75">
        <v>14</v>
      </c>
      <c r="B21" s="7">
        <v>16</v>
      </c>
      <c r="C21" s="15" t="s">
        <v>73</v>
      </c>
      <c r="D21" s="7" t="s">
        <v>202</v>
      </c>
      <c r="E21" s="7">
        <v>250</v>
      </c>
      <c r="F21" s="7">
        <v>60</v>
      </c>
      <c r="G21" s="7">
        <v>80</v>
      </c>
      <c r="H21" s="87">
        <v>1</v>
      </c>
      <c r="I21" s="87">
        <v>1</v>
      </c>
      <c r="J21" s="87">
        <v>1</v>
      </c>
      <c r="K21" s="7">
        <v>4</v>
      </c>
      <c r="L21" s="88">
        <f>COUNTIFS('데이터 기록표'!$A$7:$A$78,$A21,'데이터 기록표'!$B$7:$B$78,$C21,'데이터 기록표'!$G$7:$G$78,"&lt;&gt;")</f>
        <v>3</v>
      </c>
      <c r="M21" s="77">
        <f>IFERROR(AVERAGEIFS('데이터 기록표'!$J$7:$J$78,'데이터 기록표'!$A$7:$A$78,$A21,'데이터 기록표'!$B$7:$B$78,$C21),"")</f>
        <v>96.34246826171875</v>
      </c>
      <c r="N21" s="77">
        <f>IFERROR(AVERAGEIFS('데이터 기록표'!$K$7:$K$78,'데이터 기록표'!$A$7:$A$78,$A21,'데이터 기록표'!$B$7:$B$78,$C21),"")</f>
        <v>1.4307657877604167</v>
      </c>
      <c r="O21" s="77" t="str">
        <f>IFERROR(AVERAGEIFS('데이터 기록표'!$L$7:$L$78,'데이터 기록표'!$A$7:$A$78,$A21,'데이터 기록표'!$B$7:$B$78,$C21),"")</f>
        <v/>
      </c>
      <c r="P21" s="89">
        <f>IFERROR(AVERAGEIFS('데이터 기록표'!$M$7:$M$78,'데이터 기록표'!$A$7:$A$78,$A21,'데이터 기록표'!$B$7:$B$78,$C21),"")</f>
        <v>0</v>
      </c>
      <c r="Q21" s="89">
        <f>IFERROR(AVERAGEIFS('데이터 기록표'!$N$7:$N$78,'데이터 기록표'!$A$7:$A$78,$A21,'데이터 기록표'!$B$7:$B$78,$C21),"")</f>
        <v>0</v>
      </c>
      <c r="R21" s="77">
        <f>IFERROR(AVERAGEIFS('데이터 기록표'!$O$7:$O$78,'데이터 기록표'!$A$7:$A$78,$A21,'데이터 기록표'!$B$7:$B$78,$C21),"")</f>
        <v>76.216666666666654</v>
      </c>
      <c r="S21" s="90"/>
      <c r="T21" s="90"/>
      <c r="U21" s="90"/>
    </row>
    <row r="22" spans="1:21">
      <c r="A22" s="26">
        <v>14</v>
      </c>
      <c r="B22" s="23">
        <v>16</v>
      </c>
      <c r="C22" s="24" t="s">
        <v>183</v>
      </c>
      <c r="D22" s="23" t="s">
        <v>207</v>
      </c>
      <c r="E22" s="23">
        <v>250</v>
      </c>
      <c r="F22" s="23">
        <v>60</v>
      </c>
      <c r="G22" s="23">
        <v>80</v>
      </c>
      <c r="H22" s="25">
        <v>1</v>
      </c>
      <c r="I22" s="25">
        <v>1</v>
      </c>
      <c r="J22" s="25">
        <v>1</v>
      </c>
      <c r="K22" s="23">
        <v>4</v>
      </c>
      <c r="L22" s="91">
        <f>COUNTIFS('데이터 기록표'!$A$7:$A$78,$A22,'데이터 기록표'!$B$7:$B$78,$C22,'데이터 기록표'!$G$7:$G$78,"&lt;&gt;")</f>
        <v>0</v>
      </c>
      <c r="M22" s="92" t="str">
        <f>IFERROR(AVERAGEIFS('데이터 기록표'!$J$7:$J$78,'데이터 기록표'!$A$7:$A$78,$A22,'데이터 기록표'!$B$7:$B$78,$C22),"")</f>
        <v/>
      </c>
      <c r="N22" s="92" t="str">
        <f>IFERROR(AVERAGEIFS('데이터 기록표'!$K$7:$K$78,'데이터 기록표'!$A$7:$A$78,$A22,'데이터 기록표'!$B$7:$B$78,$C22),"")</f>
        <v/>
      </c>
      <c r="O22" s="92" t="str">
        <f>IFERROR(AVERAGEIFS('데이터 기록표'!$L$7:$L$78,'데이터 기록표'!$A$7:$A$78,$A22,'데이터 기록표'!$B$7:$B$78,$C22),"")</f>
        <v/>
      </c>
      <c r="P22" s="93">
        <f>IFERROR(AVERAGEIFS('데이터 기록표'!$M$7:$M$78,'데이터 기록표'!$A$7:$A$78,$A22,'데이터 기록표'!$B$7:$B$78,$C22),"")</f>
        <v>0</v>
      </c>
      <c r="Q22" s="93">
        <f>IFERROR(AVERAGEIFS('데이터 기록표'!$N$7:$N$78,'데이터 기록표'!$A$7:$A$78,$A22,'데이터 기록표'!$B$7:$B$78,$C22),"")</f>
        <v>0</v>
      </c>
      <c r="R22" s="92">
        <f>IFERROR(AVERAGEIFS('데이터 기록표'!$O$7:$O$78,'데이터 기록표'!$A$7:$A$78,$A22,'데이터 기록표'!$B$7:$B$78,$C22),"")</f>
        <v>76.103333333333339</v>
      </c>
      <c r="S22" s="92" t="str">
        <f>IF(OR(M21="",M22=""),"",M21-M22)</f>
        <v/>
      </c>
      <c r="T22" s="92" t="str">
        <f>IF(OR(O21="",O22=""),"",O21-O22)</f>
        <v/>
      </c>
      <c r="U22" s="92">
        <f>IF(OR(R21="",R22=""),"",R21-R22)</f>
        <v>0.11333333333331552</v>
      </c>
    </row>
    <row r="23" spans="1:21">
      <c r="A23" s="75">
        <v>15</v>
      </c>
      <c r="B23" s="7">
        <v>15</v>
      </c>
      <c r="C23" s="15" t="s">
        <v>73</v>
      </c>
      <c r="D23" s="7" t="s">
        <v>204</v>
      </c>
      <c r="E23" s="7">
        <v>250</v>
      </c>
      <c r="F23" s="7">
        <v>60</v>
      </c>
      <c r="G23" s="7">
        <v>60</v>
      </c>
      <c r="H23" s="87">
        <v>1</v>
      </c>
      <c r="I23" s="87">
        <v>1</v>
      </c>
      <c r="J23" s="87">
        <v>0.33329999999999999</v>
      </c>
      <c r="K23" s="7">
        <v>4</v>
      </c>
      <c r="L23" s="88">
        <f>COUNTIFS('데이터 기록표'!$A$7:$A$78,$A23,'데이터 기록표'!$B$7:$B$78,$C23,'데이터 기록표'!$G$7:$G$78,"&lt;&gt;")</f>
        <v>3</v>
      </c>
      <c r="M23" s="77">
        <f>IFERROR(AVERAGEIFS('데이터 기록표'!$J$7:$J$78,'데이터 기록표'!$A$7:$A$78,$A23,'데이터 기록표'!$B$7:$B$78,$C23),"")</f>
        <v>96.80938720703125</v>
      </c>
      <c r="N23" s="77">
        <f>IFERROR(AVERAGEIFS('데이터 기록표'!$K$7:$K$78,'데이터 기록표'!$A$7:$A$78,$A23,'데이터 기록표'!$B$7:$B$78,$C23),"")</f>
        <v>2.8711954752604165</v>
      </c>
      <c r="O23" s="77" t="str">
        <f>IFERROR(AVERAGEIFS('데이터 기록표'!$L$7:$L$78,'데이터 기록표'!$A$7:$A$78,$A23,'데이터 기록표'!$B$7:$B$78,$C23),"")</f>
        <v/>
      </c>
      <c r="P23" s="89">
        <f>IFERROR(AVERAGEIFS('데이터 기록표'!$M$7:$M$78,'데이터 기록표'!$A$7:$A$78,$A23,'데이터 기록표'!$B$7:$B$78,$C23),"")</f>
        <v>0</v>
      </c>
      <c r="Q23" s="89">
        <f>IFERROR(AVERAGEIFS('데이터 기록표'!$N$7:$N$78,'데이터 기록표'!$A$7:$A$78,$A23,'데이터 기록표'!$B$7:$B$78,$C23),"")</f>
        <v>0</v>
      </c>
      <c r="R23" s="77">
        <f>IFERROR(AVERAGEIFS('데이터 기록표'!$O$7:$O$78,'데이터 기록표'!$A$7:$A$78,$A23,'데이터 기록표'!$B$7:$B$78,$C23),"")</f>
        <v>75.966666666666654</v>
      </c>
      <c r="S23" s="90"/>
      <c r="T23" s="90"/>
      <c r="U23" s="90"/>
    </row>
    <row r="24" spans="1:21">
      <c r="A24" s="75">
        <v>16</v>
      </c>
      <c r="B24" s="7">
        <v>14</v>
      </c>
      <c r="C24" s="15" t="s">
        <v>73</v>
      </c>
      <c r="D24" s="7" t="s">
        <v>204</v>
      </c>
      <c r="E24" s="7">
        <v>250</v>
      </c>
      <c r="F24" s="7">
        <v>60</v>
      </c>
      <c r="G24" s="7">
        <v>40</v>
      </c>
      <c r="H24" s="87">
        <v>1</v>
      </c>
      <c r="I24" s="87">
        <v>1</v>
      </c>
      <c r="J24" s="87">
        <v>-0.33329999999999999</v>
      </c>
      <c r="K24" s="7">
        <v>4</v>
      </c>
      <c r="L24" s="88">
        <f>COUNTIFS('데이터 기록표'!$A$7:$A$78,$A24,'데이터 기록표'!$B$7:$B$78,$C24,'데이터 기록표'!$G$7:$G$78,"&lt;&gt;")</f>
        <v>3</v>
      </c>
      <c r="M24" s="77">
        <f>IFERROR(AVERAGEIFS('데이터 기록표'!$J$7:$J$78,'데이터 기록표'!$A$7:$A$78,$A24,'데이터 기록표'!$B$7:$B$78,$C24),"")</f>
        <v>96.337721082899293</v>
      </c>
      <c r="N24" s="77">
        <f>IFERROR(AVERAGEIFS('데이터 기록표'!$K$7:$K$78,'데이터 기록표'!$A$7:$A$78,$A24,'데이터 기록표'!$B$7:$B$78,$C24),"")</f>
        <v>4.567464192708333</v>
      </c>
      <c r="O24" s="77" t="str">
        <f>IFERROR(AVERAGEIFS('데이터 기록표'!$L$7:$L$78,'데이터 기록표'!$A$7:$A$78,$A24,'데이터 기록표'!$B$7:$B$78,$C24),"")</f>
        <v/>
      </c>
      <c r="P24" s="89">
        <f>IFERROR(AVERAGEIFS('데이터 기록표'!$M$7:$M$78,'데이터 기록표'!$A$7:$A$78,$A24,'데이터 기록표'!$B$7:$B$78,$C24),"")</f>
        <v>0</v>
      </c>
      <c r="Q24" s="89">
        <f>IFERROR(AVERAGEIFS('데이터 기록표'!$N$7:$N$78,'데이터 기록표'!$A$7:$A$78,$A24,'데이터 기록표'!$B$7:$B$78,$C24),"")</f>
        <v>0</v>
      </c>
      <c r="R24" s="77">
        <f>IFERROR(AVERAGEIFS('데이터 기록표'!$O$7:$O$78,'데이터 기록표'!$A$7:$A$78,$A24,'데이터 기록표'!$B$7:$B$78,$C24),"")</f>
        <v>75.61</v>
      </c>
      <c r="S24" s="90"/>
      <c r="T24" s="90"/>
      <c r="U24" s="90"/>
    </row>
    <row r="25" spans="1:21">
      <c r="A25" s="94">
        <v>17</v>
      </c>
      <c r="B25" s="68">
        <v>20</v>
      </c>
      <c r="C25" s="68" t="s">
        <v>73</v>
      </c>
      <c r="D25" s="95" t="s">
        <v>208</v>
      </c>
      <c r="E25" s="95">
        <v>250</v>
      </c>
      <c r="F25" s="95">
        <v>40</v>
      </c>
      <c r="G25" s="95">
        <v>80</v>
      </c>
      <c r="H25" s="69">
        <v>1</v>
      </c>
      <c r="I25" s="69">
        <v>-1</v>
      </c>
      <c r="J25" s="69">
        <v>1</v>
      </c>
      <c r="K25" s="95">
        <v>4</v>
      </c>
      <c r="L25" s="96">
        <f>COUNTIFS('데이터 기록표'!$A$7:$A$78,$A25,'데이터 기록표'!$B$7:$B$78,$C25,'데이터 기록표'!$G$7:$G$78,"&lt;&gt;")</f>
        <v>3</v>
      </c>
      <c r="M25" s="97">
        <f>IFERROR(AVERAGEIFS('데이터 기록표'!$J$7:$J$78,'데이터 기록표'!$A$7:$A$78,$A25,'데이터 기록표'!$B$7:$B$78,$C25),"")</f>
        <v>96.6976589626736</v>
      </c>
      <c r="N25" s="97">
        <f>IFERROR(AVERAGEIFS('데이터 기록표'!$K$7:$K$78,'데이터 기록표'!$A$7:$A$78,$A25,'데이터 기록표'!$B$7:$B$78,$C25),"")</f>
        <v>1.20391845703125</v>
      </c>
      <c r="O25" s="97" t="str">
        <f>IFERROR(AVERAGEIFS('데이터 기록표'!$L$7:$L$78,'데이터 기록표'!$A$7:$A$78,$A25,'데이터 기록표'!$B$7:$B$78,$C25),"")</f>
        <v/>
      </c>
      <c r="P25" s="98">
        <f>IFERROR(AVERAGEIFS('데이터 기록표'!$M$7:$M$78,'데이터 기록표'!$A$7:$A$78,$A25,'데이터 기록표'!$B$7:$B$78,$C25),"")</f>
        <v>0</v>
      </c>
      <c r="Q25" s="98">
        <f>IFERROR(AVERAGEIFS('데이터 기록표'!$N$7:$N$78,'데이터 기록표'!$A$7:$A$78,$A25,'데이터 기록표'!$B$7:$B$78,$C25),"")</f>
        <v>0</v>
      </c>
      <c r="R25" s="97">
        <f>IFERROR(AVERAGEIFS('데이터 기록표'!$O$7:$O$78,'데이터 기록표'!$A$7:$A$78,$A25,'데이터 기록표'!$B$7:$B$78,$C25),"")</f>
        <v>77.086666666666659</v>
      </c>
      <c r="S25" s="90"/>
      <c r="T25" s="90"/>
      <c r="U25" s="90"/>
    </row>
    <row r="26" spans="1:21">
      <c r="A26" s="94">
        <v>18</v>
      </c>
      <c r="B26" s="95">
        <v>19</v>
      </c>
      <c r="C26" s="68" t="s">
        <v>73</v>
      </c>
      <c r="D26" s="95" t="s">
        <v>208</v>
      </c>
      <c r="E26" s="95">
        <v>237</v>
      </c>
      <c r="F26" s="95">
        <v>40</v>
      </c>
      <c r="G26" s="95">
        <v>80</v>
      </c>
      <c r="H26" s="69">
        <v>0.33329999999999999</v>
      </c>
      <c r="I26" s="69">
        <v>-1</v>
      </c>
      <c r="J26" s="69">
        <v>1</v>
      </c>
      <c r="K26" s="95">
        <v>3</v>
      </c>
      <c r="L26" s="96">
        <f>COUNTIFS('데이터 기록표'!$A$7:$A$78,$A26,'데이터 기록표'!$B$7:$B$78,$C26,'데이터 기록표'!$G$7:$G$78,"&lt;&gt;")</f>
        <v>3</v>
      </c>
      <c r="M26" s="97">
        <f>IFERROR(AVERAGEIFS('데이터 기록표'!$J$7:$J$78,'데이터 기록표'!$A$7:$A$78,$A26,'데이터 기록표'!$B$7:$B$78,$C26),"")</f>
        <v>96.787346733940979</v>
      </c>
      <c r="N26" s="97">
        <f>IFERROR(AVERAGEIFS('데이터 기록표'!$K$7:$K$78,'데이터 기록표'!$A$7:$A$78,$A26,'데이터 기록표'!$B$7:$B$78,$C26),"")</f>
        <v>1.42669677734375</v>
      </c>
      <c r="O26" s="97" t="str">
        <f>IFERROR(AVERAGEIFS('데이터 기록표'!$L$7:$L$78,'데이터 기록표'!$A$7:$A$78,$A26,'데이터 기록표'!$B$7:$B$78,$C26),"")</f>
        <v/>
      </c>
      <c r="P26" s="98">
        <f>IFERROR(AVERAGEIFS('데이터 기록표'!$M$7:$M$78,'데이터 기록표'!$A$7:$A$78,$A26,'데이터 기록표'!$B$7:$B$78,$C26),"")</f>
        <v>0</v>
      </c>
      <c r="Q26" s="98">
        <f>IFERROR(AVERAGEIFS('데이터 기록표'!$N$7:$N$78,'데이터 기록표'!$A$7:$A$78,$A26,'데이터 기록표'!$B$7:$B$78,$C26),"")</f>
        <v>0</v>
      </c>
      <c r="R26" s="97">
        <f>IFERROR(AVERAGEIFS('데이터 기록표'!$O$7:$O$78,'데이터 기록표'!$A$7:$A$78,$A26,'데이터 기록표'!$B$7:$B$78,$C26),"")</f>
        <v>78.223333333333343</v>
      </c>
      <c r="S26" s="90"/>
      <c r="T26" s="90"/>
      <c r="U26" s="90"/>
    </row>
    <row r="27" spans="1:21">
      <c r="A27" s="94">
        <v>19</v>
      </c>
      <c r="B27" s="95">
        <v>18</v>
      </c>
      <c r="C27" s="68" t="s">
        <v>73</v>
      </c>
      <c r="D27" s="95" t="s">
        <v>208</v>
      </c>
      <c r="E27" s="95">
        <v>223</v>
      </c>
      <c r="F27" s="95">
        <v>40</v>
      </c>
      <c r="G27" s="95">
        <v>80</v>
      </c>
      <c r="H27" s="69">
        <v>-0.33329999999999999</v>
      </c>
      <c r="I27" s="69">
        <v>-1</v>
      </c>
      <c r="J27" s="69">
        <v>1</v>
      </c>
      <c r="K27" s="95">
        <v>2</v>
      </c>
      <c r="L27" s="96">
        <f>COUNTIFS('데이터 기록표'!$A$7:$A$78,$A27,'데이터 기록표'!$B$7:$B$78,$C27,'데이터 기록표'!$G$7:$G$78,"&lt;&gt;")</f>
        <v>3</v>
      </c>
      <c r="M27" s="97">
        <f>IFERROR(AVERAGEIFS('데이터 기록표'!$J$7:$J$78,'데이터 기록표'!$A$7:$A$78,$A27,'데이터 기록표'!$B$7:$B$78,$C27),"")</f>
        <v>96.423848470052079</v>
      </c>
      <c r="N27" s="97">
        <f>IFERROR(AVERAGEIFS('데이터 기록표'!$K$7:$K$78,'데이터 기록표'!$A$7:$A$78,$A27,'데이터 기록표'!$B$7:$B$78,$C27),"")</f>
        <v>1.2883504231770833</v>
      </c>
      <c r="O27" s="97" t="str">
        <f>IFERROR(AVERAGEIFS('데이터 기록표'!$L$7:$L$78,'데이터 기록표'!$A$7:$A$78,$A27,'데이터 기록표'!$B$7:$B$78,$C27),"")</f>
        <v/>
      </c>
      <c r="P27" s="98">
        <f>IFERROR(AVERAGEIFS('데이터 기록표'!$M$7:$M$78,'데이터 기록표'!$A$7:$A$78,$A27,'데이터 기록표'!$B$7:$B$78,$C27),"")</f>
        <v>1</v>
      </c>
      <c r="Q27" s="98">
        <f>IFERROR(AVERAGEIFS('데이터 기록표'!$N$7:$N$78,'데이터 기록표'!$A$7:$A$78,$A27,'데이터 기록표'!$B$7:$B$78,$C27),"")</f>
        <v>0</v>
      </c>
      <c r="R27" s="97">
        <f>IFERROR(AVERAGEIFS('데이터 기록표'!$O$7:$O$78,'데이터 기록표'!$A$7:$A$78,$A27,'데이터 기록표'!$B$7:$B$78,$C27),"")</f>
        <v>79.94</v>
      </c>
      <c r="S27" s="90"/>
      <c r="T27" s="90"/>
      <c r="U27" s="90"/>
    </row>
    <row r="28" spans="1:21">
      <c r="A28" s="94">
        <v>20</v>
      </c>
      <c r="B28" s="95">
        <v>17</v>
      </c>
      <c r="C28" s="68" t="s">
        <v>73</v>
      </c>
      <c r="D28" s="95" t="s">
        <v>208</v>
      </c>
      <c r="E28" s="95">
        <v>210</v>
      </c>
      <c r="F28" s="95">
        <v>40</v>
      </c>
      <c r="G28" s="95">
        <v>80</v>
      </c>
      <c r="H28" s="69">
        <v>-1</v>
      </c>
      <c r="I28" s="69">
        <v>-1</v>
      </c>
      <c r="J28" s="69">
        <v>1</v>
      </c>
      <c r="K28" s="95">
        <v>1</v>
      </c>
      <c r="L28" s="96">
        <f>COUNTIFS('데이터 기록표'!$A$7:$A$78,$A28,'데이터 기록표'!$B$7:$B$78,$C28,'데이터 기록표'!$G$7:$G$78,"&lt;&gt;")</f>
        <v>3</v>
      </c>
      <c r="M28" s="97">
        <f>IFERROR(AVERAGEIFS('데이터 기록표'!$J$7:$J$78,'데이터 기록표'!$A$7:$A$78,$A28,'데이터 기록표'!$B$7:$B$78,$C28),"")</f>
        <v>96.381971571180543</v>
      </c>
      <c r="N28" s="97">
        <f>IFERROR(AVERAGEIFS('데이터 기록표'!$K$7:$K$78,'데이터 기록표'!$A$7:$A$78,$A28,'데이터 기록표'!$B$7:$B$78,$C28),"")</f>
        <v>3.1565348307291665</v>
      </c>
      <c r="O28" s="97" t="str">
        <f>IFERROR(AVERAGEIFS('데이터 기록표'!$L$7:$L$78,'데이터 기록표'!$A$7:$A$78,$A28,'데이터 기록표'!$B$7:$B$78,$C28),"")</f>
        <v/>
      </c>
      <c r="P28" s="98">
        <f>IFERROR(AVERAGEIFS('데이터 기록표'!$M$7:$M$78,'데이터 기록표'!$A$7:$A$78,$A28,'데이터 기록표'!$B$7:$B$78,$C28),"")</f>
        <v>1</v>
      </c>
      <c r="Q28" s="98">
        <f>IFERROR(AVERAGEIFS('데이터 기록표'!$N$7:$N$78,'데이터 기록표'!$A$7:$A$78,$A28,'데이터 기록표'!$B$7:$B$78,$C28),"")</f>
        <v>0</v>
      </c>
      <c r="R28" s="97">
        <f>IFERROR(AVERAGEIFS('데이터 기록표'!$O$7:$O$78,'데이터 기록표'!$A$7:$A$78,$A28,'데이터 기록표'!$B$7:$B$78,$C28),"")</f>
        <v>81.83</v>
      </c>
      <c r="S28" s="90"/>
      <c r="T28" s="90"/>
      <c r="U28" s="90"/>
    </row>
    <row r="30" spans="1:21">
      <c r="A30" s="1" t="s">
        <v>209</v>
      </c>
      <c r="C30" s="85">
        <f>COUNTA(A5:A28)</f>
        <v>24</v>
      </c>
      <c r="D30" s="85" t="s">
        <v>210</v>
      </c>
    </row>
    <row r="31" spans="1:21">
      <c r="A31" s="13" t="s">
        <v>211</v>
      </c>
    </row>
    <row r="33" spans="1:12">
      <c r="A33" s="1" t="s">
        <v>212</v>
      </c>
    </row>
    <row r="34" spans="1:12" ht="36" customHeight="1">
      <c r="A34" s="86" t="s">
        <v>118</v>
      </c>
      <c r="B34" s="99" t="s">
        <v>213</v>
      </c>
      <c r="C34" s="99" t="s">
        <v>214</v>
      </c>
      <c r="D34" s="86" t="s">
        <v>215</v>
      </c>
      <c r="E34" s="86" t="s">
        <v>216</v>
      </c>
      <c r="F34" s="99" t="s">
        <v>217</v>
      </c>
      <c r="G34" s="86" t="s">
        <v>218</v>
      </c>
      <c r="H34" s="86" t="s">
        <v>219</v>
      </c>
      <c r="I34" s="99" t="s">
        <v>220</v>
      </c>
      <c r="J34" s="86" t="s">
        <v>221</v>
      </c>
      <c r="K34" s="86" t="s">
        <v>222</v>
      </c>
      <c r="L34" s="99" t="s">
        <v>223</v>
      </c>
    </row>
    <row r="35" spans="1:12" ht="18" customHeight="1">
      <c r="A35" s="75">
        <v>210</v>
      </c>
      <c r="B35" s="7">
        <v>4</v>
      </c>
      <c r="C35" s="95">
        <v>20</v>
      </c>
      <c r="D35" s="77">
        <f>IF(M9="","",M9)</f>
        <v>96.502855088975707</v>
      </c>
      <c r="E35" s="97">
        <f>IF(M28="","",M28)</f>
        <v>96.381971571180543</v>
      </c>
      <c r="F35" s="77">
        <f>IF(OR(D35="",E35=""),"",D35-E35)</f>
        <v>0.12088351779516415</v>
      </c>
      <c r="G35" s="77" t="str">
        <f>IF(O9="","",O9)</f>
        <v/>
      </c>
      <c r="H35" s="97" t="str">
        <f>IF(O28="","",O28)</f>
        <v/>
      </c>
      <c r="I35" s="77" t="str">
        <f>IF(OR(G35="",H35=""),"",G35-H35)</f>
        <v/>
      </c>
      <c r="J35" s="77">
        <f>IF(R9="","",R9)</f>
        <v>82.406666666666666</v>
      </c>
      <c r="K35" s="97">
        <f>IF(R28="","",R28)</f>
        <v>81.83</v>
      </c>
      <c r="L35" s="77">
        <f>IF(OR(J35="",K35=""),"",J35-K35)</f>
        <v>0.57666666666666799</v>
      </c>
    </row>
    <row r="36" spans="1:12" ht="18" customHeight="1">
      <c r="A36" s="75">
        <v>223</v>
      </c>
      <c r="B36" s="7">
        <v>7</v>
      </c>
      <c r="C36" s="95">
        <v>19</v>
      </c>
      <c r="D36" s="77">
        <f>IF(M13="","",M13)</f>
        <v>95.92166476779515</v>
      </c>
      <c r="E36" s="97">
        <f>IF(M27="","",M27)</f>
        <v>96.423848470052079</v>
      </c>
      <c r="F36" s="77">
        <f>IF(OR(D36="",E36=""),"",D36-E36)</f>
        <v>-0.50218370225692865</v>
      </c>
      <c r="G36" s="77" t="str">
        <f>IF(O13="","",O13)</f>
        <v/>
      </c>
      <c r="H36" s="97" t="str">
        <f>IF(O27="","",O27)</f>
        <v/>
      </c>
      <c r="I36" s="77" t="str">
        <f>IF(OR(G36="",H36=""),"",G36-H36)</f>
        <v/>
      </c>
      <c r="J36" s="77">
        <f>IF(R13="","",R13)</f>
        <v>78.64</v>
      </c>
      <c r="K36" s="97">
        <f>IF(R27="","",R27)</f>
        <v>79.94</v>
      </c>
      <c r="L36" s="77">
        <f>IF(OR(J36="",K36=""),"",J36-K36)</f>
        <v>-1.2999999999999972</v>
      </c>
    </row>
    <row r="37" spans="1:12" ht="18" customHeight="1">
      <c r="A37" s="75">
        <v>237</v>
      </c>
      <c r="B37" s="7">
        <v>11</v>
      </c>
      <c r="C37" s="95">
        <v>18</v>
      </c>
      <c r="D37" s="77">
        <f>IF(M17="","",M17)</f>
        <v>97.052849663628479</v>
      </c>
      <c r="E37" s="97">
        <f>IF(M26="","",M26)</f>
        <v>96.787346733940979</v>
      </c>
      <c r="F37" s="77">
        <f>IF(OR(D37="",E37=""),"",D37-E37)</f>
        <v>0.2655029296875</v>
      </c>
      <c r="G37" s="77" t="str">
        <f>IF(O17="","",O17)</f>
        <v/>
      </c>
      <c r="H37" s="97" t="str">
        <f>IF(O26="","",O26)</f>
        <v/>
      </c>
      <c r="I37" s="77" t="str">
        <f>IF(OR(G37="",H37=""),"",G37-H37)</f>
        <v/>
      </c>
      <c r="J37" s="77">
        <f>IF(R17="","",R17)</f>
        <v>76.900000000000006</v>
      </c>
      <c r="K37" s="97">
        <f>IF(R26="","",R26)</f>
        <v>78.223333333333343</v>
      </c>
      <c r="L37" s="77">
        <f>IF(OR(J37="",K37=""),"",J37-K37)</f>
        <v>-1.3233333333333377</v>
      </c>
    </row>
    <row r="38" spans="1:12" ht="18" customHeight="1">
      <c r="A38" s="75">
        <v>250</v>
      </c>
      <c r="B38" s="7">
        <v>14</v>
      </c>
      <c r="C38" s="95">
        <v>17</v>
      </c>
      <c r="D38" s="77">
        <f>IF(M21="","",M21)</f>
        <v>96.34246826171875</v>
      </c>
      <c r="E38" s="97">
        <f>IF(M25="","",M25)</f>
        <v>96.6976589626736</v>
      </c>
      <c r="F38" s="77">
        <f>IF(OR(D38="",E38=""),"",D38-E38)</f>
        <v>-0.35519070095485006</v>
      </c>
      <c r="G38" s="77" t="str">
        <f>IF(O21="","",O21)</f>
        <v/>
      </c>
      <c r="H38" s="97" t="str">
        <f>IF(O25="","",O25)</f>
        <v/>
      </c>
      <c r="I38" s="77" t="str">
        <f>IF(OR(G38="",H38=""),"",G38-H38)</f>
        <v/>
      </c>
      <c r="J38" s="77">
        <f>IF(R21="","",R21)</f>
        <v>76.216666666666654</v>
      </c>
      <c r="K38" s="97">
        <f>IF(R25="","",R25)</f>
        <v>77.086666666666659</v>
      </c>
      <c r="L38" s="77">
        <f>IF(OR(J38="",K38=""),"",J38-K38)</f>
        <v>-0.87000000000000455</v>
      </c>
    </row>
    <row r="39" spans="1:12">
      <c r="A39" s="100" t="s">
        <v>224</v>
      </c>
    </row>
  </sheetData>
  <phoneticPr fontId="19" type="noConversion"/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설계 요약</vt:lpstr>
      <vt:lpstr>실험계획표</vt:lpstr>
      <vt:lpstr>이동측 2² 설계</vt:lpstr>
      <vt:lpstr>데이터 기록표</vt:lpstr>
      <vt:lpstr>분석용 요약</vt:lpstr>
      <vt:lpstr>'데이터 기록표'!Print_Titles</vt:lpstr>
      <vt:lpstr>'분석용 요약'!Print_Titles</vt:lpstr>
      <vt:lpstr>실험계획표!Print_Titles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서재원</cp:lastModifiedBy>
  <cp:revision>0</cp:revision>
  <dcterms:created xsi:type="dcterms:W3CDTF">2026-09-14T02:38:15Z</dcterms:created>
  <dcterms:modified xsi:type="dcterms:W3CDTF">2026-09-30T23:57:50Z</dcterms:modified>
  <dc:language>en-US</dc:language>
</cp:coreProperties>
</file>